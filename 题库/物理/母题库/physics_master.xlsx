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7e53e7db7846f7" /></Relationships>
</file>

<file path=xl/workbook.xml><?xml version="1.0" encoding="utf-8"?>
<x:workbook xmlns:x="http://schemas.openxmlformats.org/spreadsheetml/2006/main">
  <x:sheets>
    <x:sheet xmlns:r="http://schemas.openxmlformats.org/officeDocument/2006/relationships" name="题目检查" sheetId="1" r:id="R14c77516f0e8423c"/>
    <x:sheet xmlns:r="http://schemas.openxmlformats.org/officeDocument/2006/relationships" name="质量统计" sheetId="2" r:id="R5228acdc10f94ae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b/>
      <x:sz val="10"/>
      <x:color rgb="FF17365D"/>
      <x:name val="Carlito"/>
    </x:font>
    <x:font>
      <x:sz val="9"/>
      <x:name val="Carlito"/>
    </x:font>
    <x:font>
      <x:b/>
      <x:sz val="15"/>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13">
    <x:border/>
    <x:border>
      <x:left style="medium">
        <x:color rgb="FF7F8C8D"/>
      </x:left>
      <x:top style="medium">
        <x:color rgb="FF7F8C8D"/>
      </x:top>
      <x:bottom style="medium">
        <x:color rgb="FF7F8C8D"/>
      </x:bottom>
    </x:border>
    <x:border>
      <x:top style="medium">
        <x:color rgb="FF7F8C8D"/>
      </x:top>
      <x:bottom style="medium">
        <x:color rgb="FF7F8C8D"/>
      </x:bottom>
    </x:border>
    <x:border>
      <x:right style="medium">
        <x:color rgb="FF7F8C8D"/>
      </x:right>
      <x:top style="medium">
        <x:color rgb="FF7F8C8D"/>
      </x:top>
      <x:bottom style="medium">
        <x:color rgb="FF7F8C8D"/>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7" xfId="0" applyNumberFormat="1" applyFont="1" applyFill="1" applyBorder="1" applyAlignment="1">
      <x:alignment horizontal="center" vertical="top" wrapText="1"/>
    </x:xf>
    <x:xf numFmtId="0" fontId="3" fillId="0" borderId="8" xfId="0" applyNumberFormat="1" applyFont="1" applyFill="1" applyBorder="1" applyAlignment="1">
      <x:alignment horizontal="center" vertical="top" wrapText="1"/>
    </x:xf>
    <x:xf numFmtId="0" fontId="3" fillId="0" borderId="10" xfId="0" applyNumberFormat="1" applyFont="1" applyFill="1" applyBorder="1" applyAlignment="1">
      <x:alignment horizontal="center" vertical="top" wrapText="1"/>
    </x:xf>
    <x:xf numFmtId="0" fontId="3" fillId="0" borderId="11" xfId="0" applyNumberFormat="1" applyFont="1" applyFill="1" applyBorder="1" applyAlignment="1">
      <x:alignment horizontal="center"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3" borderId="0"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1" xfId="0" applyNumberFormat="1" applyFont="1" applyFill="1" applyBorder="1" applyAlignment="1">
      <x:alignment horizontal="center"/>
    </x:xf>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200" fontId="0" fillId="0" borderId="5" xfId="0" applyNumberFormat="1" applyFont="1" applyFill="1" applyBorder="1" applyAlignment="1">
      <x:alignment vertical="center" wrapText="1"/>
    </x:xf>
    <x:xf numFmtId="200" fontId="0" fillId="0" borderId="8" xfId="0" applyNumberFormat="1" applyFont="1" applyFill="1" applyBorder="1" applyAlignment="1">
      <x:alignment vertical="center" wrapText="1"/>
    </x:xf>
    <x:xf numFmtId="200" fontId="0" fillId="0" borderId="11" xfId="0" applyNumberFormat="1" applyFont="1" applyFill="1" applyBorder="1" applyAlignment="1">
      <x:alignment vertical="center" wrapText="1"/>
    </x:xf>
    <x:xf numFmtId="200" fontId="0" fillId="0" borderId="5" xfId="0" applyNumberFormat="1" applyFont="1" applyFill="1" applyBorder="1" applyAlignment="1">
      <x:alignment horizontal="right" vertical="center" wrapText="1"/>
    </x:xf>
    <x:xf numFmtId="200" fontId="0" fillId="0" borderId="8" xfId="0" applyNumberFormat="1" applyFont="1" applyFill="1" applyBorder="1" applyAlignment="1">
      <x:alignment horizontal="right" vertical="center" wrapText="1"/>
    </x:xf>
    <x:xf numFmtId="200" fontId="0" fillId="0" borderId="11"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6eadc1208b445b" /><Relationship Type="http://schemas.openxmlformats.org/officeDocument/2006/relationships/theme" Target="/xl/theme/theme1.xml" Id="R66f0a0c8618241d6" /><Relationship Type="http://schemas.openxmlformats.org/officeDocument/2006/relationships/sharedStrings" Target="/xl/sharedStrings.xml" Id="R62887ce00f824901" /><Relationship Type="http://schemas.openxmlformats.org/officeDocument/2006/relationships/worksheet" Target="/xl/worksheets/sheet1.xml" Id="R14c77516f0e8423c" /><Relationship Type="http://schemas.openxmlformats.org/officeDocument/2006/relationships/worksheet" Target="/xl/worksheets/sheet2.xml" Id="R5228acdc10f94aee" /></Relationships>
</file>

<file path=xl/tables/table1.xml><?xml version="1.0" encoding="utf-8"?>
<x:table xmlns:x="http://schemas.openxmlformats.org/spreadsheetml/2006/main" id="1" name="物理QuestionTable40" displayName="物理QuestionTable40" ref="A2:S42" headerRowCount="1" totalsRowCount="0" totalsRowShown="0">
  <x:tableColumns count="19">
    <x:tableColumn id="1" name="学科"/>
    <x:tableColumn id="2" name="年份"/>
    <x:tableColumn id="3" name="区域"/>
    <x:tableColumn id="4" name="试卷来源"/>
    <x:tableColumn id="5" name="题号"/>
    <x:tableColumn id="6" name="题型"/>
    <x:tableColumn id="7" name="题干"/>
    <x:tableColumn id="8" name="选项"/>
    <x:tableColumn id="9" name="答案"/>
    <x:tableColumn id="10" name="标准解析"/>
    <x:tableColumn id="11" name="题干图片数"/>
    <x:tableColumn id="12" name="解析图片数"/>
    <x:tableColumn id="13" name="一级知识点"/>
    <x:tableColumn id="14" name="知识点"/>
    <x:tableColumn id="15" name="难度"/>
    <x:tableColumn id="16" name="难度说明"/>
    <x:tableColumn id="17" name="答案解析审核状态"/>
    <x:tableColumn id="18" name="审核状态"/>
    <x:tableColumn id="19" name="来源文件"/>
  </x:tableColumns>
  <x:tableStyleInfo name="TableStyleMedium2" showFirstColumn="0" showLastColumn="0" showRowStripes="1" showColumnStripes="0"/>
</x:table>
</file>

<file path=xl/tables/table2.xml><?xml version="1.0" encoding="utf-8"?>
<x:table xmlns:x="http://schemas.openxmlformats.org/spreadsheetml/2006/main" id="2" name="物理StatsTable40" displayName="物理StatsTable40" ref="A3:C26" headerRowCount="1" totalsRowCount="0" totalsRowShown="0">
  <x:tableColumns count="3">
    <x:tableColumn id="1" name="检查项"/>
    <x:tableColumn id="2" name="结果"/>
    <x:tableColumn id="3"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748b10c5d614532" /></Relationships>
</file>

<file path=xl/worksheets/_rels/sheet2.xml.rels>&#65279;<?xml version="1.0" encoding="utf-8"?><Relationships xmlns="http://schemas.openxmlformats.org/package/2006/relationships"><Relationship Type="http://schemas.openxmlformats.org/officeDocument/2006/relationships/table" Target="/xl/tables/table2.xml" Id="R29598704afcb4bf8"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7.25" hidden="0" customWidth="1"/>
    <x:col min="3" max="3" width="7.75" hidden="0" customWidth="1"/>
    <x:col min="4" max="4" width="26.8799991607666" hidden="0" customWidth="1"/>
    <x:col min="5" max="5" width="6.25" hidden="0" customWidth="1"/>
    <x:col min="6" max="6" width="10.630000114440918" hidden="0" customWidth="1"/>
    <x:col min="7" max="7" width="45" hidden="0" customWidth="1"/>
    <x:col min="8" max="8" width="37.5" hidden="0" customWidth="1"/>
    <x:col min="9" max="9" width="26.25" hidden="0" customWidth="1"/>
    <x:col min="10" max="10" width="51.25" hidden="0" customWidth="1"/>
    <x:col min="11" max="11" width="9.5" hidden="0" customWidth="1"/>
    <x:col min="12" max="12" width="9.5" hidden="0" customWidth="1"/>
    <x:col min="13" max="13" width="11.25" hidden="0" customWidth="1"/>
    <x:col min="14" max="14" width="31.25" hidden="0" customWidth="1"/>
    <x:col min="15" max="15" width="8.75" hidden="0" customWidth="1"/>
    <x:col min="16" max="16" width="35" hidden="0" customWidth="1"/>
    <x:col min="17" max="17" width="13" hidden="0" customWidth="1"/>
    <x:col min="18" max="18" width="10.25" hidden="0" customWidth="1"/>
    <x:col min="19" max="19" width="37.5" hidden="0" customWidth="1"/>
  </x:cols>
  <x:sheetData>
    <x:row r="1" ht="28" customHeight="1">
      <x:c r="A1" s="4" t="str">
        <x:v>物理母题库检查表（知识点与难度标注版）</x:v>
      </x:c>
      <x:c r="B1" s="4"/>
      <x:c r="C1" s="4"/>
      <x:c r="D1" s="4"/>
      <x:c r="E1" s="4"/>
      <x:c r="F1" s="4"/>
      <x:c r="G1" s="4"/>
      <x:c r="H1" s="4"/>
      <x:c r="I1" s="4"/>
      <x:c r="J1" s="4"/>
      <x:c r="K1" s="4"/>
      <x:c r="L1" s="4"/>
      <x:c r="M1" s="4"/>
      <x:c r="N1" s="4"/>
      <x:c r="O1" s="4"/>
      <x:c r="P1" s="4"/>
      <x:c r="Q1" s="4"/>
      <x:c r="R1" s="4"/>
      <x:c r="S1" s="4"/>
    </x:row>
    <x:row r="2">
      <x:c r="A2" s="16" t="str">
        <x:v>学科</x:v>
      </x:c>
      <x:c r="B2" s="17" t="str">
        <x:v>年份</x:v>
      </x:c>
      <x:c r="C2" s="17" t="str">
        <x:v>区域</x:v>
      </x:c>
      <x:c r="D2" s="17" t="str">
        <x:v>试卷来源</x:v>
      </x:c>
      <x:c r="E2" s="17" t="str">
        <x:v>题号</x:v>
      </x:c>
      <x:c r="F2" s="17" t="str">
        <x:v>题型</x:v>
      </x:c>
      <x:c r="G2" s="17" t="str">
        <x:v>题干</x:v>
      </x:c>
      <x:c r="H2" s="17" t="str">
        <x:v>选项</x:v>
      </x:c>
      <x:c r="I2" s="17" t="str">
        <x:v>答案</x:v>
      </x:c>
      <x:c r="J2" s="17" t="str">
        <x:v>标准解析</x:v>
      </x:c>
      <x:c r="K2" s="17" t="str">
        <x:v>题干图片数</x:v>
      </x:c>
      <x:c r="L2" s="17" t="str">
        <x:v>解析图片数</x:v>
      </x:c>
      <x:c r="M2" s="17" t="str">
        <x:v>一级知识点</x:v>
      </x:c>
      <x:c r="N2" s="17" t="str">
        <x:v>知识点</x:v>
      </x:c>
      <x:c r="O2" s="17" t="str">
        <x:v>难度</x:v>
      </x:c>
      <x:c r="P2" s="17" t="str">
        <x:v>难度说明</x:v>
      </x:c>
      <x:c r="Q2" s="17" t="str">
        <x:v>答案解析审核状态</x:v>
      </x:c>
      <x:c r="R2" s="17" t="str">
        <x:v>审核状态</x:v>
      </x:c>
      <x:c r="S2" s="18" t="str">
        <x:v>来源文件</x:v>
      </x:c>
    </x:row>
    <x:row r="3" ht="72" customHeight="1">
      <x:c r="A3" s="47" t="str">
        <x:v>物理</x:v>
      </x:c>
      <x:c r="B3" s="48" t="n">
        <x:v>2023</x:v>
      </x:c>
      <x:c r="C3" s="48" t="str">
        <x:v>全国</x:v>
      </x:c>
      <x:c r="D3" s="48" t="str">
        <x:v>2023年高考真题——理综（新课标卷）</x:v>
      </x:c>
      <x:c r="E3" s="48" t="str">
        <x:v>14</x:v>
      </x:c>
      <x:c r="F3" s="48" t="str">
        <x:v>单选题</x:v>
      </x:c>
      <x:c r="G3" s="39" t="str">
        <x:v>船上的人和水下的潜水员都能听见轮船的鸣笛声。声波在空气中和在水中传播时的（ ）</x:v>
      </x:c>
      <x:c r="H3" s="39" t="str">
        <x:v>A. 波速和波长均不同
B. 频率和波速均不同
C. 波长和周期均不同
D. 周期和频率均不同</x:v>
      </x:c>
      <x:c r="I3" s="39" t="str">
        <x:v>A</x:v>
      </x:c>
      <x:c r="J3" s="39" t="str">
        <x:v>【详解】声波的周期和频率由振源决定，故声波在空气中和在水中传播的周期和频率均相同，但声波在空气和水中传播的波速不同，根据波速与波长关系〔公式对象 F107〕可知，波长也不同。故A正确，BCD错误。
故选A。</x:v>
      </x:c>
      <x:c r="K3" s="48" t="n">
        <x:v>0</x:v>
      </x:c>
      <x:c r="L3" s="48" t="n">
        <x:v>1</x:v>
      </x:c>
      <x:c r="M3" s="48" t="str">
        <x:v>力学</x:v>
      </x:c>
      <x:c r="N3" s="39" t="str">
        <x:v>力学&gt;机械振动与机械波&gt;波速、波长与频率</x:v>
      </x:c>
      <x:c r="O3" s="48" t="str">
        <x:v>easy</x:v>
      </x:c>
      <x:c r="P3" s="39" t="str">
        <x:v>考查波速、波长与频率的直接识记或单步判断，条件明确，运算与推理量较小。</x:v>
      </x:c>
      <x:c r="Q3" s="48" t="str">
        <x:v>待审核</x:v>
      </x:c>
      <x:c r="R3" s="48" t="str">
        <x:v>待审核</x:v>
      </x:c>
      <x:c r="S3" s="40" t="str">
        <x:v>试题：E:\BISHE2026\题库\理综\2023年高考真题——理综（新课标卷）Word版含解析.doc
答案解析：E:\BISHE2026\题库\理综\2023年高考真题——理综（新课标卷）Word版含解析.doc</x:v>
      </x:c>
    </x:row>
    <x:row r="4" ht="72" customHeight="1">
      <x:c r="A4" s="49" t="str">
        <x:v>物理</x:v>
      </x:c>
      <x:c r="B4" s="50" t="n">
        <x:v>2023</x:v>
      </x:c>
      <x:c r="C4" s="50" t="str">
        <x:v>全国</x:v>
      </x:c>
      <x:c r="D4" s="50" t="str">
        <x:v>2023年高考真题——理综（新课标卷）</x:v>
      </x:c>
      <x:c r="E4" s="50" t="str">
        <x:v>15</x:v>
      </x:c>
      <x:c r="F4" s="50" t="str">
        <x:v>单选题</x:v>
      </x:c>
      <x:c r="G4" s="42" t="str">
        <x:v>无风时，雨滴受空气阻力的作用在地面附近会以恒定的速率竖直下落。一质量为m的雨滴在地面附近以速率v下落高度h的过程中，克服空气阻力做的功为（重力加速度大小为g）（ ）</x:v>
      </x:c>
      <x:c r="H4" s="42" t="str">
        <x:v>A. 0
B. mgh
C. 〔公式对象 F108〕
D. 〔公式对象 F109〕</x:v>
      </x:c>
      <x:c r="I4" s="42" t="str">
        <x:v>B</x:v>
      </x:c>
      <x:c r="J4" s="42" t="str">
        <x:v>【详解】在地面附近雨滴做匀速运动，根据动能定理得
〔公式对象 F110〕
故雨滴克服空气阻力做功为〔公式对象 F111〕。
故选B。</x:v>
      </x:c>
      <x:c r="K4" s="50" t="n">
        <x:v>2</x:v>
      </x:c>
      <x:c r="L4" s="50" t="n">
        <x:v>2</x:v>
      </x:c>
      <x:c r="M4" s="50" t="str">
        <x:v>力学</x:v>
      </x:c>
      <x:c r="N4" s="42" t="str">
        <x:v>力学&gt;功能关系&gt;克服阻力做功</x:v>
      </x:c>
      <x:c r="O4" s="50" t="str">
        <x:v>easy</x:v>
      </x:c>
      <x:c r="P4" s="42" t="str">
        <x:v>考查克服阻力做功的直接识记或单步判断，条件明确，运算与推理量较小。</x:v>
      </x:c>
      <x:c r="Q4" s="50" t="str">
        <x:v>待审核</x:v>
      </x:c>
      <x:c r="R4" s="50" t="str">
        <x:v>待审核</x:v>
      </x:c>
      <x:c r="S4" s="43" t="str">
        <x:v>试题：E:\BISHE2026\题库\理综\2023年高考真题——理综（新课标卷）Word版含解析.doc
答案解析：E:\BISHE2026\题库\理综\2023年高考真题——理综（新课标卷）Word版含解析.doc</x:v>
      </x:c>
    </x:row>
    <x:row r="5" ht="72" customHeight="1">
      <x:c r="A5" s="49" t="str">
        <x:v>物理</x:v>
      </x:c>
      <x:c r="B5" s="50" t="n">
        <x:v>2023</x:v>
      </x:c>
      <x:c r="C5" s="50" t="str">
        <x:v>全国</x:v>
      </x:c>
      <x:c r="D5" s="50" t="str">
        <x:v>2023年高考真题——理综（新课标卷）</x:v>
      </x:c>
      <x:c r="E5" s="50" t="str">
        <x:v>16</x:v>
      </x:c>
      <x:c r="F5" s="50" t="str">
        <x:v>单选题</x:v>
      </x:c>
      <x:c r="G5" s="42" t="str">
        <x:v>铯原子基态的两个超精细能级之间跃迁发射的光子具有稳定的频率，铯原子钟利用的两能级的能量差量级为10⁻⁵eV，跃迁发射的光子的频率量级为（普朗克常量〔公式对象 F112〕，元电荷〔公式对象 F113〕）（ ）</x:v>
      </x:c>
      <x:c r="H5" s="42" t="str">
        <x:v>A. 10³Hz
B. 10⁶Hz
C. 10⁹Hz
D. 10¹²Hz</x:v>
      </x:c>
      <x:c r="I5" s="42" t="str">
        <x:v>C</x:v>
      </x:c>
      <x:c r="J5" s="42" t="str">
        <x:v>【详解】铯原子利用的两能极的能量差量级对应的能量为
〔公式对象 F114〕
由光子能量的表达式〔公式对象 F115〕可得，跃迁发射的光子的频率量级为
〔公式对象 F116〕
跃迁发射的光子的频率量级为10⁹Hz。故选C。</x:v>
      </x:c>
      <x:c r="K5" s="50" t="n">
        <x:v>2</x:v>
      </x:c>
      <x:c r="L5" s="50" t="n">
        <x:v>3</x:v>
      </x:c>
      <x:c r="M5" s="50" t="str">
        <x:v>近代物理</x:v>
      </x:c>
      <x:c r="N5" s="42" t="str">
        <x:v>近代物理&gt;光子与原子跃迁&gt;能级差与光子频率</x:v>
      </x:c>
      <x:c r="O5" s="50" t="str">
        <x:v>medium</x:v>
      </x:c>
      <x:c r="P5" s="42" t="str">
        <x:v>需要提取题干或图表信息，并结合能级差与光子频率完成两步左右的判断或计算。</x:v>
      </x:c>
      <x:c r="Q5" s="50" t="str">
        <x:v>待审核</x:v>
      </x:c>
      <x:c r="R5" s="50" t="str">
        <x:v>待审核</x:v>
      </x:c>
      <x:c r="S5" s="43" t="str">
        <x:v>试题：E:\BISHE2026\题库\理综\2023年高考真题——理综（新课标卷）Word版含解析.doc
答案解析：E:\BISHE2026\题库\理综\2023年高考真题——理综（新课标卷）Word版含解析.doc</x:v>
      </x:c>
    </x:row>
    <x:row r="6" ht="72" customHeight="1">
      <x:c r="A6" s="49" t="str">
        <x:v>物理</x:v>
      </x:c>
      <x:c r="B6" s="50" t="n">
        <x:v>2023</x:v>
      </x:c>
      <x:c r="C6" s="50" t="str">
        <x:v>全国</x:v>
      </x:c>
      <x:c r="D6" s="50" t="str">
        <x:v>2023年高考真题——理综（新课标卷）</x:v>
      </x:c>
      <x:c r="E6" s="50" t="str">
        <x:v>17</x:v>
      </x:c>
      <x:c r="F6" s="50" t="str">
        <x:v>单选题</x:v>
      </x:c>
      <x:c r="G6" s="42" t="str">
        <x:v>2023年5月，世界现役运输能力最大的货运飞船天舟六号，携带约5800kg的物资进入距离地面约400km（小于地球同步卫星与地面的距离）的轨道，顺利对接中国空间站后近似做匀速圆周运动。对接后，这批物资（ ）</x:v>
      </x:c>
      <x:c r="H6" s="42" t="str">
        <x:v>A. 质量比静止在地面上时小
B. 所受合力比静止在地面上时小
C. 所受地球引力比静止在地面上时大
D. 做圆周运动的角速度大小比地球自转角速度大</x:v>
      </x:c>
      <x:c r="I6" s="42" t="str">
        <x:v>D</x:v>
      </x:c>
      <x:c r="J6" s="42" t="str">
        <x:v>【详解】A．物体在低速（速度远小于光速）宏观条件下质量保持不变，即在空间站和地面质量相同，故A错误；
BC．设空间站离地面的高度为h，这批物质在地面上静止合力为零，在空间站所受合力为万有引力即
〔公式对象 F117〕
在地面受地球引力为
〔公式对象 F118〕
因此有〔公式对象 F119〕，故BC错误；
D．物体绕地球做匀速圆周运动万有引力提供向心力
〔公式对象 F120〕
解得
〔公式对象 F121〕
这批物质在空间站内的轨道半径小于同步卫星的轨道半径，因此这批物质的角速度大于同步卫星的角速度，同步卫星的角速度等于地球自转的角速度，即这批物质的角速度大于地球自转的角速度，故D正确。
故选D。</x:v>
      </x:c>
      <x:c r="K6" s="50" t="n">
        <x:v>0</x:v>
      </x:c>
      <x:c r="L6" s="50" t="n">
        <x:v>5</x:v>
      </x:c>
      <x:c r="M6" s="50" t="str">
        <x:v>力学</x:v>
      </x:c>
      <x:c r="N6" s="42" t="str">
        <x:v>力学&gt;万有引力与航天&gt;圆轨道参量比较</x:v>
      </x:c>
      <x:c r="O6" s="50" t="str">
        <x:v>medium</x:v>
      </x:c>
      <x:c r="P6" s="42" t="str">
        <x:v>需要提取题干或图表信息，并结合圆轨道参量比较完成两步左右的判断或计算。</x:v>
      </x:c>
      <x:c r="Q6" s="50" t="str">
        <x:v>待审核</x:v>
      </x:c>
      <x:c r="R6" s="50" t="str">
        <x:v>待审核</x:v>
      </x:c>
      <x:c r="S6" s="43" t="str">
        <x:v>试题：E:\BISHE2026\题库\理综\2023年高考真题——理综（新课标卷）Word版含解析.doc
答案解析：E:\BISHE2026\题库\理综\2023年高考真题——理综（新课标卷）Word版含解析.doc</x:v>
      </x:c>
    </x:row>
    <x:row r="7" ht="72" customHeight="1">
      <x:c r="A7" s="49" t="str">
        <x:v>物理</x:v>
      </x:c>
      <x:c r="B7" s="50" t="n">
        <x:v>2023</x:v>
      </x:c>
      <x:c r="C7" s="50" t="str">
        <x:v>全国</x:v>
      </x:c>
      <x:c r="D7" s="50" t="str">
        <x:v>2023年高考真题——理综（新课标卷）</x:v>
      </x:c>
      <x:c r="E7" s="50" t="str">
        <x:v>18</x:v>
      </x:c>
      <x:c r="F7" s="50" t="str">
        <x:v>单选题</x:v>
      </x:c>
      <x:c r="G7" s="42" t="str">
        <x:v>一电子和一α粒子从铅盒上的小孔O竖直向上射出后，打到铅盒上方水平放置的屏幕P上的a和b两点，a点在小孔O的正上方，b点在a点的右侧，如图所示。已知α粒子的速度约为电子速度的〔公式对象 F122〕，铅盒与屏幕之间存在匀强电场和匀强磁场，则电场和磁场方向可能为（ ）
〔图片对象 I123〕</x:v>
      </x:c>
      <x:c r="H7" s="42" t="str">
        <x:v>A. 电场方向水平向左、磁场方向垂直纸面向里
B. 电场方向水平向左、磁场方向垂直纸面向外
C. 电场方向水平向右、磁场方向垂直纸面向里
D. 电场方向水平向右、磁场方向垂直纸面向外</x:v>
      </x:c>
      <x:c r="I7" s="42" t="str">
        <x:v>C</x:v>
      </x:c>
      <x:c r="J7" s="42" t="str">
        <x:v>【详解】A．带电粒子在电场和磁场中运动，打到a点的粒子电场力和洛伦兹力平衡，当电场向左磁场垂直直面向里时，〔公式对象 F125〕粒子受到向左的电场力和洛伦兹力，电子受到向右的电场力和洛伦兹力均不能满足受力平衡打到a点，A错误；
B．电场方向向左，磁场方向向外，此时如果〔公式对象 F126〕粒子打在a点则受到向左的电场力和向右的洛伦兹力平衡
〔公式对象 F127〕
〔公式对象 F128〕
则电子速度大，受到向左的洛伦兹力大于向右的电场力向左偏转，同理如果电子打在a点，则〔公式对象 F129〕粒子向左的电场力大于向右的洛伦兹力则向左偏转，均不会打在b点，B错误；
CD．电场方向向右，磁场垂直纸面向里，如果〔公式对象 F130〕粒子打在a点，即向右的电场力和向左的洛伦兹力平衡
〔公式对象 F131〕
〔公式对象 F132〕
电子速度大，受到向右的洛伦兹力大于向左的电场力向右偏转，同理如果电子打在a，则〔公式对象 F133〕粒子向右的电场力大于向左的洛伦兹力向右偏转，均会打在b点；同理电场向右磁场垂直纸面向外时，〔公式对象 F134〕粒子受到向右的电场力和洛伦兹力，电子受到向左的电场力和洛伦兹力不能受力平衡打到a点，故C正确D错误；
故选C。</x:v>
      </x:c>
      <x:c r="K7" s="50" t="n">
        <x:v>2</x:v>
      </x:c>
      <x:c r="L7" s="50" t="n">
        <x:v>10</x:v>
      </x:c>
      <x:c r="M7" s="50" t="str">
        <x:v>电磁学</x:v>
      </x:c>
      <x:c r="N7" s="42" t="str">
        <x:v>电磁学&gt;带电粒子在复合场中的运动&gt;电场与磁场方向判断</x:v>
      </x:c>
      <x:c r="O7" s="50" t="str">
        <x:v>hard</x:v>
      </x:c>
      <x:c r="P7" s="42" t="str">
        <x:v>需要综合多个条件，围绕电场与磁场方向判断进行多环节推理、定量计算或实验分析。</x:v>
      </x:c>
      <x:c r="Q7" s="50" t="str">
        <x:v>待审核</x:v>
      </x:c>
      <x:c r="R7" s="50" t="str">
        <x:v>待审核</x:v>
      </x:c>
      <x:c r="S7" s="43" t="str">
        <x:v>试题：E:\BISHE2026\题库\理综\2023年高考真题——理综（新课标卷）Word版含解析.doc
答案解析：E:\BISHE2026\题库\理综\2023年高考真题——理综（新课标卷）Word版含解析.doc</x:v>
      </x:c>
    </x:row>
    <x:row r="8" ht="72" customHeight="1">
      <x:c r="A8" s="49" t="str">
        <x:v>物理</x:v>
      </x:c>
      <x:c r="B8" s="50" t="n">
        <x:v>2023</x:v>
      </x:c>
      <x:c r="C8" s="50" t="str">
        <x:v>全国</x:v>
      </x:c>
      <x:c r="D8" s="50" t="str">
        <x:v>2023年高考真题——理综（新课标卷）</x:v>
      </x:c>
      <x:c r="E8" s="50" t="str">
        <x:v>19</x:v>
      </x:c>
      <x:c r="F8" s="50" t="str">
        <x:v>多选题</x:v>
      </x:c>
      <x:c r="G8" s="42" t="str">
        <x:v>使甲、乙两条形磁铁隔开一段距离，静止于水平桌面上，甲的N极正对着乙的S极，甲的质量大于乙的质量，两者与桌面之间的动摩擦因数相等。现同时释放甲和乙，在它们相互接近过程中的任一时刻（ ）
〔图片对象 I135〕</x:v>
      </x:c>
      <x:c r="H8" s="42" t="str">
        <x:v>A. 甲的速度大小比乙的大
B. 甲的动量大小比乙的小
C. 甲的动量大小与乙的相等
D. 甲和乙的动量之和不为零</x:v>
      </x:c>
      <x:c r="I8" s="42" t="str">
        <x:v>BD</x:v>
      </x:c>
      <x:c r="J8" s="42" t="str">
        <x:v>【详解】对甲、乙两条形磁铁分别做受力分析，如图所示
〔图片对象 I136〕
A．根据牛顿第二定律有
〔公式对象 F137〕
〔公式对象 F138〕
由于
m甲 &gt; m乙
所以
a甲 &lt; a乙
由于两物体运动时间相同，且同时由静止释放，可得
v甲 &lt; v乙
A错误；
BCD．对于整个系统而言，由于μm甲g &gt; μm乙g，合力方向向左，合冲量方向向左，所以合动量方向向左，显然甲的动量大小比乙的小，BD正确、C错误。
故选BD。</x:v>
      </x:c>
      <x:c r="K8" s="50" t="n">
        <x:v>1</x:v>
      </x:c>
      <x:c r="L8" s="50" t="n">
        <x:v>3</x:v>
      </x:c>
      <x:c r="M8" s="50" t="str">
        <x:v>力学</x:v>
      </x:c>
      <x:c r="N8" s="42" t="str">
        <x:v>力学&gt;牛顿运动定律&gt;相互作用与摩擦</x:v>
      </x:c>
      <x:c r="O8" s="50" t="str">
        <x:v>medium</x:v>
      </x:c>
      <x:c r="P8" s="42" t="str">
        <x:v>需要提取题干或图表信息，并结合相互作用与摩擦完成两步左右的判断或计算。</x:v>
      </x:c>
      <x:c r="Q8" s="50" t="str">
        <x:v>待审核</x:v>
      </x:c>
      <x:c r="R8" s="50" t="str">
        <x:v>待审核</x:v>
      </x:c>
      <x:c r="S8" s="43" t="str">
        <x:v>试题：E:\BISHE2026\题库\理综\2023年高考真题——理综（新课标卷）Word版含解析.doc
答案解析：E:\BISHE2026\题库\理综\2023年高考真题——理综（新课标卷）Word版含解析.doc</x:v>
      </x:c>
    </x:row>
    <x:row r="9" ht="72" customHeight="1">
      <x:c r="A9" s="49" t="str">
        <x:v>物理</x:v>
      </x:c>
      <x:c r="B9" s="50" t="n">
        <x:v>2023</x:v>
      </x:c>
      <x:c r="C9" s="50" t="str">
        <x:v>全国</x:v>
      </x:c>
      <x:c r="D9" s="50" t="str">
        <x:v>2023年高考真题——理综（新课标卷）</x:v>
      </x:c>
      <x:c r="E9" s="50" t="str">
        <x:v>20</x:v>
      </x:c>
      <x:c r="F9" s="50" t="str">
        <x:v>多选题</x:v>
      </x:c>
      <x:c r="G9" s="42" t="str">
        <x:v>一质量为1kg的物体在水平拉力的作用下，由静止开始在水平地面上沿x轴运动，出发点为x轴零点，拉力做的功W与物体坐标x的关系如图所示。物体与水平地面间的动摩擦因数为0.4，重力加速度大小取10m/s²。下列说法正确的是（ ）
〔图片对象 I139〕</x:v>
      </x:c>
      <x:c r="H9" s="42" t="str">
        <x:v>A. 在x = 1m时，拉力的功率为6W
B. 在x = 4m时，物体的动能为2J
C. 从x = 0运动到x = 2m，物体克服摩擦力做的功为8J
D. 从x = 0运动到x = 4的过程中，物体的动量最大为2kg∙m/s</x:v>
      </x:c>
      <x:c r="I9" s="42" t="str">
        <x:v>BC</x:v>
      </x:c>
      <x:c r="J9" s="42" t="str">
        <x:v>【详解】由于拉力在水平方向，则拉力做的功为
W = Fx
可看出W—x图像的斜率代表拉力F。
AB．在物体运动的过程中根据动能定理有
〔公式对象 F140〕
则x = 1m时物体的速度为
v₁= 2m/s
x = 1m时，拉力为
〔公式对象 F141〕
则此时拉力的功率
P = Fv₁= 12W
x = 4m时物体的动能为
Ek= 2J
A错误、B正确；
C．从x = 0运动到x = 2m，物体克服摩擦力做的功为
Wf= μmgx = 8J
C正确；
D．根据W—x图像可知在0—2m的过程中F₁= 6N，2—4m的过程中F₂= 3N，由于物体受到的摩擦力恒为f = 4N，则物体在x = 2m处速度最大，且根据选项AB分析可知此时的速度
〔公式对象 F142〕
则从x = 0运动到x = 4的过程中，物体的动量最大为
〔公式对象 F143〕
D错误。
故选BC。</x:v>
      </x:c>
      <x:c r="K9" s="50" t="n">
        <x:v>1</x:v>
      </x:c>
      <x:c r="L9" s="50" t="n">
        <x:v>4</x:v>
      </x:c>
      <x:c r="M9" s="50" t="str">
        <x:v>力学</x:v>
      </x:c>
      <x:c r="N9" s="42" t="str">
        <x:v>力学&gt;功能关系&gt;功—位移图像</x:v>
      </x:c>
      <x:c r="O9" s="50" t="str">
        <x:v>hard</x:v>
      </x:c>
      <x:c r="P9" s="42" t="str">
        <x:v>需要综合多个条件，围绕功—位移图像进行多环节推理、定量计算或实验分析。</x:v>
      </x:c>
      <x:c r="Q9" s="50" t="str">
        <x:v>待审核</x:v>
      </x:c>
      <x:c r="R9" s="50" t="str">
        <x:v>待审核</x:v>
      </x:c>
      <x:c r="S9" s="43" t="str">
        <x:v>试题：E:\BISHE2026\题库\理综\2023年高考真题——理综（新课标卷）Word版含解析.doc
答案解析：E:\BISHE2026\题库\理综\2023年高考真题——理综（新课标卷）Word版含解析.doc</x:v>
      </x:c>
    </x:row>
    <x:row r="10" ht="72" customHeight="1">
      <x:c r="A10" s="49" t="str">
        <x:v>物理</x:v>
      </x:c>
      <x:c r="B10" s="50" t="n">
        <x:v>2023</x:v>
      </x:c>
      <x:c r="C10" s="50" t="str">
        <x:v>全国</x:v>
      </x:c>
      <x:c r="D10" s="50" t="str">
        <x:v>2023年高考真题——理综（新课标卷）</x:v>
      </x:c>
      <x:c r="E10" s="50" t="str">
        <x:v>21</x:v>
      </x:c>
      <x:c r="F10" s="50" t="str">
        <x:v>多选题</x:v>
      </x:c>
      <x:c r="G10" s="42" t="str">
        <x:v>如图，一封闭着理想气体的绝热汽缸置于水平地面上，用轻弹簧连接的两绝热活塞将汽缸分为f、g、h三部分，活塞与汽缸壁间没有摩擦。初始时弹簧处于原长，三部分中气体的温度、体积、压强均相等。现通过电阻丝对f中的气体缓慢加热，停止加热并达到稳定后（ ）
〔图片对象 I144〕</x:v>
      </x:c>
      <x:c r="H10" s="42" t="str">
        <x:v>A. h中的气体内能增加
B. f与g中的气体温度相等
C. f与h中的气体温度相等
D. f与h中的气体压强相等</x:v>
      </x:c>
      <x:c r="I10" s="42" t="str">
        <x:v>AD</x:v>
      </x:c>
      <x:c r="J10" s="42" t="str">
        <x:v>【详解】A．当电阻丝对f中的气体缓慢加热时，f中的气体内能增大，温度升高，根据理想气体状态方程可知f中的气体压强增大，会缓慢推动左边活塞，可知h的体积也被压缩压强变大，对活塞受力分析，根据平衡条件可知，弹簧弹力变大，则弹簧被压缩。与此同时弹簧对右边活塞有弹力作用，缓慢向右推动左边活塞。故活塞对h中的气体做正功，且是绝热过程，由热力学第一定律可知，h中的气体内能增加，A正确；
B．未加热前，三部分中气体的温度、体积、压强均相等，当系统稳定时，活塞受力平衡，可知弹簧处于压缩状态，对左边活塞分析
〔公式对象 F146〕
则
〔公式对象 F147〕
分别对f、g内的气体分析，根据理想气体状态方程有
〔公式对象 F148〕
〔公式对象 F149〕
由题意可知，因弹簧被压缩，则〔公式对象 F150〕，联立可得
〔公式对象 F151〕
B错误；
C．在达到稳定过程中h中的气体体积变小，压强变大，f中的气体体积变大。由于稳定时弹簧保持平衡状态，故稳定时f、h中的气体压强相等，根据理想气体状态方程对h气体分析可知
〔公式对象 F152〕
联立可得
〔公式对象 F153〕
C错误；
D．对弹簧、活塞及g中的气体组成的系统分析，根据平衡条件可知，f与h中的气体压强相等，D正确。
故选AD。</x:v>
      </x:c>
      <x:c r="K10" s="50" t="n">
        <x:v>1</x:v>
      </x:c>
      <x:c r="L10" s="50" t="n">
        <x:v>8</x:v>
      </x:c>
      <x:c r="M10" s="50" t="str">
        <x:v>热学</x:v>
      </x:c>
      <x:c r="N10" s="42" t="str">
        <x:v>热学&gt;理想气体&gt;热力学第一定律与状态变化</x:v>
      </x:c>
      <x:c r="O10" s="50" t="str">
        <x:v>hard</x:v>
      </x:c>
      <x:c r="P10" s="42" t="str">
        <x:v>需要综合多个条件，围绕热力学第一定律与状态变化进行多环节推理、定量计算或实验分析。</x:v>
      </x:c>
      <x:c r="Q10" s="50" t="str">
        <x:v>待审核</x:v>
      </x:c>
      <x:c r="R10" s="50" t="str">
        <x:v>待审核</x:v>
      </x:c>
      <x:c r="S10" s="43" t="str">
        <x:v>试题：E:\BISHE2026\题库\理综\2023年高考真题——理综（新课标卷）Word版含解析.doc
答案解析：E:\BISHE2026\题库\理综\2023年高考真题——理综（新课标卷）Word版含解析.doc</x:v>
      </x:c>
    </x:row>
    <x:row r="11" ht="72" customHeight="1">
      <x:c r="A11" s="49" t="str">
        <x:v>物理</x:v>
      </x:c>
      <x:c r="B11" s="50" t="n">
        <x:v>2023</x:v>
      </x:c>
      <x:c r="C11" s="50" t="str">
        <x:v>全国</x:v>
      </x:c>
      <x:c r="D11" s="50" t="str">
        <x:v>2023年高考真题——理综（新课标卷）</x:v>
      </x:c>
      <x:c r="E11" s="50" t="str">
        <x:v>22</x:v>
      </x:c>
      <x:c r="F11" s="50" t="str">
        <x:v>实验填空题</x:v>
      </x:c>
      <x:c r="G11" s="42" t="str">
        <x:v>在“观察电容器的充、放电现象”实验中，所用器材如下：电池、电容器、电阻箱、定值电阻、小灯泡、多用电表、电流表、秒表、单刀双掷开关以及导线若干。
〔图片对象 I154〕
（1）用多用电表的电压挡检测电池的电压。检测时，红表笔应该与电池的___________（填“正极”或“负极”）接触。
（2）某同学设计的实验电路如图（a）所示。先将电阻箱的阻值调为〔公式对象 F155〕，将单刀双掷开关S与“1”端相接，记录电流随时间的变化。电容器充电完成后，开关S再与“2”端相接，相接后小灯泡亮度变化情况可能是___________。（填正确答案标号）
A．迅速变亮，然后亮度趋于稳定
B．亮度逐渐增大，然后趋于稳定
C．迅速变亮，然后亮度逐渐减小至熄灭
（3）将电阻箱的阻值调为〔公式对象 F156〕，再次将开关S与“1”端相接，再次记录电流随时间的变化情况。两次得到的电流I随时间t变化如图（b）中曲线所示，其中实线是电阻箱阻值为___________（填“R₁”或“R₂”）时的结果，曲线与坐标轴所围面积等于该次充电完成后电容器上的___________（填“电压”或“电荷量”）。</x:v>
      </x:c>
      <x:c r="H11" s="42" t="str"/>
      <x:c r="I11" s="42" t="str">
        <x:v>①. 正极 ②. C ③. 〔公式对象 F157〕 ④. 电荷量</x:v>
      </x:c>
      <x:c r="J11" s="42" t="str">
        <x:v>【详解】（1）[1]多用电表红表笔流入电流，黑表笔流出电流，故电流表红表笔应该与电池的正极接触；
（2）[2]电容器充电完成后，开始时两极板电量较多，电势差较大，当闭合“2”接入小灯泡，回路立即形成电流，灯泡的迅速变亮；随着时间的积累，两极板电量变少，电势差变小，流过灯泡的电流减小，直至两极板电荷量为零不带电，则无电流流过小灯泡即熄灭，故选C。
（3）[3]开始充电时两极板的不带电，两极板电势差为零，设电源内阻为r，则开始充电时有
〔公式对象 F159〕
由图像可知开始充电时实线的电流较小，故电路中的电阻较大，因此电阻箱阻值为〔公式对象 F160〕；
[4]图像的物理意义为充电过程中电流随时间的变化图线，故曲线与坐标轴所围面积等于该次充电完成后电容器上的电荷量。</x:v>
      </x:c>
      <x:c r="K11" s="50" t="n">
        <x:v>3</x:v>
      </x:c>
      <x:c r="L11" s="50" t="n">
        <x:v>3</x:v>
      </x:c>
      <x:c r="M11" s="50" t="str">
        <x:v>实验</x:v>
      </x:c>
      <x:c r="N11" s="42" t="str">
        <x:v>实验&gt;电学实验&gt;电容器充放电；电磁学&gt;电容器&gt;充放电规律</x:v>
      </x:c>
      <x:c r="O11" s="50" t="str">
        <x:v>medium</x:v>
      </x:c>
      <x:c r="P11" s="42" t="str">
        <x:v>需要提取题干或图表信息，并结合电容器充放电完成两步左右的判断或计算。</x:v>
      </x:c>
      <x:c r="Q11" s="50" t="str">
        <x:v>待审核</x:v>
      </x:c>
      <x:c r="R11" s="50" t="str">
        <x:v>待审核</x:v>
      </x:c>
      <x:c r="S11" s="43" t="str">
        <x:v>试题：E:\BISHE2026\题库\理综\2023年高考真题——理综（新课标卷）Word版含解析.doc
答案解析：E:\BISHE2026\题库\理综\2023年高考真题——理综（新课标卷）Word版含解析.doc</x:v>
      </x:c>
    </x:row>
    <x:row r="12" ht="72" customHeight="1">
      <x:c r="A12" s="49" t="str">
        <x:v>物理</x:v>
      </x:c>
      <x:c r="B12" s="50" t="n">
        <x:v>2023</x:v>
      </x:c>
      <x:c r="C12" s="50" t="str">
        <x:v>全国</x:v>
      </x:c>
      <x:c r="D12" s="50" t="str">
        <x:v>2023年高考真题——理综（新课标卷）</x:v>
      </x:c>
      <x:c r="E12" s="50" t="str">
        <x:v>23</x:v>
      </x:c>
      <x:c r="F12" s="50" t="str">
        <x:v>实验填空题</x:v>
      </x:c>
      <x:c r="G12" s="42" t="str">
        <x:v>一学生小组做“用单摆测量重力加速度的大小”实验。
〔图片对象 I161〕
（1）用实验室提供的螺旋测微器测量摆球直径。首先，调节螺旋测微器，拧动微调旋钮使测微螺杆和测砧相触时，发现固定刻度的横线与可动刻度上的零刻度线未对齐，如图（a）所示，该示数为___________mm；螺旋测微器在夹有摆球时示数如图（b）所示，该示数为___________mm，则摆球的直径为___________mm。
（2）单摆实验的装置示意图如图（c）所示，其中角度盘需要固定在杆上的确定点O处，摆线在角度盘上所指的示数为摆角的大小。若将角度盘固定在O点上方，则摆线在角度盘上所指的示数为5°时，实际摆角___________5°（填“大于”或“小于”）。
（3）某次实验所用单摆的摆线长度为81.50cm，则摆长为___________cm。实验中观测到从摆球第1次经过最低点到第61次经过最低点的时间间隔为54.60s，则此单摆周期为___________s，该小组测得的重力加速度大小为___________m/s².（结果均保留3位有效数字，π²取9.870）</x:v>
      </x:c>
      <x:c r="H12" s="42" t="str"/>
      <x:c r="I12" s="42" t="str">
        <x:v>①. 0.006##0.007##0.008 ②. 20.034##20.033##20.035##20.032 ③. 20.027##20.028##20.029 ④. 大于 ⑤. 82.5 ⑥. 1.82 ⑦. 9.83</x:v>
      </x:c>
      <x:c r="J12" s="42" t="str">
        <x:v>【详解】（1）[1]测量前测微螺杆与和测砧相触时，图（a）的示数为
〔公式对象 F162〕
[2]螺旋测微器读数是固定刻度读数(0.5mm的整数倍)加可动刻度（0.5mm以下的小数）读数，图中读数为
〔公式对象 F164〕
[3]则摆球的直径为
〔公式对象 F165〕
（2）[4]角度盘的大小一定，即在规定的位置安装角度盘，测量的摆角准确，但将角度盘固定在规定位置上方，即角度盘到悬挂点的距离变短，同样的角度，摆线在刻度盘上扫过的弧长变短，故摆线在角度盘上所指的示数为5°时，实际摆角大于5°；
（3）[5]单摆的摆线长度为81.50 cm，则摆长为
〔公式对象 F166〕
结果保留三位有效数字，得摆长为82.5cm；
[6]一次全振动单摆经过最低点两次，故此单摆的周期为
〔公式对象 F167〕
[7]由单摆的周期表达式〔公式对象 F168〕得，重力加速度
〔公式对象 F169〕</x:v>
      </x:c>
      <x:c r="K12" s="50" t="n">
        <x:v>1</x:v>
      </x:c>
      <x:c r="L12" s="50" t="n">
        <x:v>7</x:v>
      </x:c>
      <x:c r="M12" s="50" t="str">
        <x:v>实验</x:v>
      </x:c>
      <x:c r="N12" s="42" t="str">
        <x:v>实验&gt;力学实验&gt;单摆测重力加速度</x:v>
      </x:c>
      <x:c r="O12" s="50" t="str">
        <x:v>hard</x:v>
      </x:c>
      <x:c r="P12" s="42" t="str">
        <x:v>需要综合多个条件，围绕单摆测重力加速度进行多环节推理、定量计算或实验分析。</x:v>
      </x:c>
      <x:c r="Q12" s="50" t="str">
        <x:v>待审核</x:v>
      </x:c>
      <x:c r="R12" s="50" t="str">
        <x:v>待审核</x:v>
      </x:c>
      <x:c r="S12" s="43" t="str">
        <x:v>试题：E:\BISHE2026\题库\理综\2023年高考真题——理综（新课标卷）Word版含解析.doc
答案解析：E:\BISHE2026\题库\理综\2023年高考真题——理综（新课标卷）Word版含解析.doc</x:v>
      </x:c>
    </x:row>
    <x:row r="13" ht="72" customHeight="1">
      <x:c r="A13" s="49" t="str">
        <x:v>物理</x:v>
      </x:c>
      <x:c r="B13" s="50" t="n">
        <x:v>2023</x:v>
      </x:c>
      <x:c r="C13" s="50" t="str">
        <x:v>全国</x:v>
      </x:c>
      <x:c r="D13" s="50" t="str">
        <x:v>2023年高考真题——理综（新课标卷）</x:v>
      </x:c>
      <x:c r="E13" s="50" t="str">
        <x:v>24</x:v>
      </x:c>
      <x:c r="F13" s="50" t="str">
        <x:v>解答题</x:v>
      </x:c>
      <x:c r="G13" s="42" t="str">
        <x:v>将扁平的石子向水面快速抛出，石子可能会在水面上一跳一跳地飞向远方，俗称“打水漂”。要使石子从水面跳起产生“水漂”效果，石子接触水面时的速度方向与水面的夹角不能大于θ。为了观察到“水漂”，一同学将一石子从距水面高度为h处水平抛出，抛出速度的最小值为多少？（不计石子在空中飞行时的空气阻力，重力加速度大小为g）</x:v>
      </x:c>
      <x:c r="H13" s="42" t="str"/>
      <x:c r="I13" s="42" t="str">
        <x:v>〔公式对象 F170〕</x:v>
      </x:c>
      <x:c r="J13" s="42" t="str">
        <x:v>【详解】石子做平抛运动，竖直方向做自由落体运动，则有
〔公式对象 F171〕
可得落到水面上时的竖直速度
〔公式对象 F172〕
由题意可知
〔公式对象 F173〕
即
〔公式对象 F174〕
石子抛出速度的最小值为〔公式对象 F175〕。</x:v>
      </x:c>
      <x:c r="K13" s="50" t="n">
        <x:v>0</x:v>
      </x:c>
      <x:c r="L13" s="50" t="n">
        <x:v>6</x:v>
      </x:c>
      <x:c r="M13" s="50" t="str">
        <x:v>力学</x:v>
      </x:c>
      <x:c r="N13" s="42" t="str">
        <x:v>力学&gt;抛体运动&gt;平抛运动</x:v>
      </x:c>
      <x:c r="O13" s="50" t="str">
        <x:v>medium</x:v>
      </x:c>
      <x:c r="P13" s="42" t="str">
        <x:v>需要提取题干或图表信息，并结合平抛运动完成两步左右的判断或计算。</x:v>
      </x:c>
      <x:c r="Q13" s="50" t="str">
        <x:v>待审核</x:v>
      </x:c>
      <x:c r="R13" s="50" t="str">
        <x:v>待审核</x:v>
      </x:c>
      <x:c r="S13" s="43" t="str">
        <x:v>试题：E:\BISHE2026\题库\理综\2023年高考真题——理综（新课标卷）Word版含解析.doc
答案解析：E:\BISHE2026\题库\理综\2023年高考真题——理综（新课标卷）Word版含解析.doc</x:v>
      </x:c>
    </x:row>
    <x:row r="14" ht="72" customHeight="1">
      <x:c r="A14" s="49" t="str">
        <x:v>物理</x:v>
      </x:c>
      <x:c r="B14" s="50" t="n">
        <x:v>2023</x:v>
      </x:c>
      <x:c r="C14" s="50" t="str">
        <x:v>全国</x:v>
      </x:c>
      <x:c r="D14" s="50" t="str">
        <x:v>2023年高考真题——理综（新课标卷）</x:v>
      </x:c>
      <x:c r="E14" s="50" t="str">
        <x:v>25</x:v>
      </x:c>
      <x:c r="F14" s="50" t="str">
        <x:v>解答题</x:v>
      </x:c>
      <x:c r="G14" s="42" t="str">
        <x:v>密立根油滴实验的示意图如图所示。两水平金属平板上下放置，间距固定，可从上板中央的小孔向两板间喷入大小不同、带电量不同、密度相同的小油滴。两板间不加电压时，油滴a、b在重力和空气阻力的作用下竖直向下匀速运动，速率分别为v₀、〔公式对象 F176〕；两板间加上电压后（上板为正极），这两个油滴很快达到相同的速率〔公式对象 F177〕，均竖直向下匀速运动。油滴可视为球形，所受空气阻力大小与油滴半径、运动速率成正比，比例系数视为常数。不计空气浮力和油滴间的相互作用。
（1）求油滴a和油滴b的质量之比；
（2）判断油滴a和油滴b所带电荷的正负，并求a、b所带电荷量的绝对值之比。
〔图片对象 I178〕</x:v>
      </x:c>
      <x:c r="H14" s="42" t="str"/>
      <x:c r="I14" s="42" t="str">
        <x:v>（1）8:1；（2）油滴a带负电，油滴b带正电；4:1</x:v>
      </x:c>
      <x:c r="J14" s="42" t="str">
        <x:v>【详解】（1）设油滴半径r，密度为ρ，则油滴质量
〔公式对象 F179〕
则速率为v时受阻力
〔公式对象 F180〕
则当油滴匀速下落时
〔公式对象 F181〕
解得
〔公式对象 F182〕
可知
〔公式对象 F183〕
则
〔公式对象 F184〕
（2）两板间加上电压后（上板为正极），这两个油滴很快达到相同的速率〔公式对象 F185〕，可知油滴a做减速运动，油滴b做加速运动，可知油滴a带负电，油滴b带正电；当再次匀速下落时，对a由受力平衡可得
〔公式对象 F186〕
其中
〔公式对象 F187〕
对b由受力平衡可得
〔公式对象 F188〕
其中
〔公式对象 F189〕
联立解得
〔公式对象 F190〕</x:v>
      </x:c>
      <x:c r="K14" s="50" t="n">
        <x:v>3</x:v>
      </x:c>
      <x:c r="L14" s="50" t="n">
        <x:v>12</x:v>
      </x:c>
      <x:c r="M14" s="50" t="str">
        <x:v>电磁学</x:v>
      </x:c>
      <x:c r="N14" s="42" t="str">
        <x:v>电磁学&gt;电场&gt;带电油滴平衡</x:v>
      </x:c>
      <x:c r="O14" s="50" t="str">
        <x:v>hard</x:v>
      </x:c>
      <x:c r="P14" s="42" t="str">
        <x:v>需要综合多个条件，围绕带电油滴平衡进行多环节推理、定量计算或实验分析。</x:v>
      </x:c>
      <x:c r="Q14" s="50" t="str">
        <x:v>待审核</x:v>
      </x:c>
      <x:c r="R14" s="50" t="str">
        <x:v>待审核</x:v>
      </x:c>
      <x:c r="S14" s="43" t="str">
        <x:v>试题：E:\BISHE2026\题库\理综\2023年高考真题——理综（新课标卷）Word版含解析.doc
答案解析：E:\BISHE2026\题库\理综\2023年高考真题——理综（新课标卷）Word版含解析.doc</x:v>
      </x:c>
    </x:row>
    <x:row r="15" ht="72" customHeight="1">
      <x:c r="A15" s="49" t="str">
        <x:v>物理</x:v>
      </x:c>
      <x:c r="B15" s="50" t="n">
        <x:v>2023</x:v>
      </x:c>
      <x:c r="C15" s="50" t="str">
        <x:v>全国</x:v>
      </x:c>
      <x:c r="D15" s="50" t="str">
        <x:v>2023年高考真题——理综（新课标卷）</x:v>
      </x:c>
      <x:c r="E15" s="50" t="str">
        <x:v>26</x:v>
      </x:c>
      <x:c r="F15" s="50" t="str">
        <x:v>解答题</x:v>
      </x:c>
      <x:c r="G15" s="42" t="str">
        <x:v>一边长为L、质量为m的正方形金属细框，每边电阻为R₀，置于光滑的绝缘水平桌面（纸面）上。宽度为2L的区域内存在方向垂直于纸面的匀强磁场，磁感应强度大小为B，两虚线为磁场边界，如图（a）所示。
（1）使金属框以一定的初速度向右运动，进入磁场。运动过程中金属框的左、右边框始终与磁场边界平行，金属框完全穿过磁场区域后，速度大小降为它初速度的一半，求金属框的初速度大小。
（2）在桌面上固定两条光滑长直金属导轨，导轨与磁场边界垂直，左端连接电阻R₁ = 2R₀，导轨电阻可忽略，金属框置于导轨上，如图（b）所示。让金属框以与（1）中相同的初速度向右运动，进入磁场。运动过程中金属框的上、下边框处处与导轨始终接触良好。求在金属框整个运动过程中，电阻R₁产生的热量。
〔图片对象 I191〕</x:v>
      </x:c>
      <x:c r="H15" s="42" t="str"/>
      <x:c r="I15" s="42" t="str">
        <x:v>（1）〔公式对象 F192〕；（2）〔公式对象 F193〕</x:v>
      </x:c>
      <x:c r="J15" s="42" t="str">
        <x:v>【详解】（1）金属框进入磁场过程中有
〔公式对象 F194〕
则金属框进入磁场过程中流过回路的电荷量为
〔公式对象 F195〕
则金属框完全穿过磁场区域的过程中流过回路的电荷量为
〔公式对象 F196〕
且有
〔公式对象 F197〕
联立有
〔公式对象 F198〕
（2）设金属框的初速度为v₀，则金属框进入磁场时的末速度为v₁，向右为正方向。由于导轨电阻可忽略，此时金属框上下部分被短路，故电路中的总电
〔公式对象 F199〕
再根据动量定理有
〔公式对象 F200〕
解得
〔公式对象 F201〕
则在此过程中根据能量守恒有
〔公式对象 F202〕
解得
〔公式对象 F203〕
其中
〔公式对象 F204〕
此后线框完全进入磁场中，则线框左右两边均作为电源，且等效电路图如下
〔图片对象 I205〕
则此时回路的总电阻
〔公式对象 F206〕
设线框刚离开磁场时的速度为v₂，再根据动量定理有
〔公式对象 F208〕
解得
v₂= 0
则说明线框刚离开磁场时就停止运动了，则再根据能量守恒有
〔公式对象 F209〕
其中
〔公式对象 F210〕
则在金属框整个运动过程中，电阻R₁产生的热量
〔公式对象 F211〕</x:v>
      </x:c>
      <x:c r="K15" s="50" t="n">
        <x:v>1</x:v>
      </x:c>
      <x:c r="L15" s="50" t="n">
        <x:v>19</x:v>
      </x:c>
      <x:c r="M15" s="50" t="str">
        <x:v>电磁学</x:v>
      </x:c>
      <x:c r="N15" s="42" t="str">
        <x:v>电磁学&gt;电磁感应&gt;导体框切割磁感线</x:v>
      </x:c>
      <x:c r="O15" s="50" t="str">
        <x:v>hard</x:v>
      </x:c>
      <x:c r="P15" s="42" t="str">
        <x:v>需要综合多个条件，围绕导体框切割磁感线进行多环节推理、定量计算或实验分析。</x:v>
      </x:c>
      <x:c r="Q15" s="50" t="str">
        <x:v>待审核</x:v>
      </x:c>
      <x:c r="R15" s="50" t="str">
        <x:v>待审核</x:v>
      </x:c>
      <x:c r="S15" s="43" t="str">
        <x:v>试题：E:\BISHE2026\题库\理综\2023年高考真题——理综（新课标卷）Word版含解析.doc
答案解析：E:\BISHE2026\题库\理综\2023年高考真题——理综（新课标卷）Word版含解析.doc</x:v>
      </x:c>
    </x:row>
    <x:row r="16" ht="72" customHeight="1">
      <x:c r="A16" s="49" t="str">
        <x:v>物理</x:v>
      </x:c>
      <x:c r="B16" s="50" t="n">
        <x:v>2023</x:v>
      </x:c>
      <x:c r="C16" s="50" t="str">
        <x:v>全国</x:v>
      </x:c>
      <x:c r="D16" s="50" t="str">
        <x:v>2023年高考真题——理综（全国甲卷）</x:v>
      </x:c>
      <x:c r="E16" s="50" t="str">
        <x:v>14</x:v>
      </x:c>
      <x:c r="F16" s="50" t="str">
        <x:v>单选题</x:v>
      </x:c>
      <x:c r="G16" s="42" t="str">
        <x:v>一同学将铅球水平推出，不计空气阻力和转动的影响，铅球在平抛运动过程中（ ）</x:v>
      </x:c>
      <x:c r="H16" s="42" t="str">
        <x:v>A. 机械能一直增加
B. 加速度保持不变
C. 速度大小保持不变
D. 被推出后瞬间动能最大</x:v>
      </x:c>
      <x:c r="I16" s="42" t="str">
        <x:v>B</x:v>
      </x:c>
      <x:c r="J16" s="42" t="str">
        <x:v>【详解】A．铅球做平抛运动，仅受重力，故机械能守恒，A错误；
B．铅球的加速度恒为重力加速度保持不变，B正确；
CD．铅球做平抛运动，水平方向速度不变，竖直方向做匀加速直线运动，根据运动的合成可知铅球速度变大，则动能越来越大，CD错误。
故选B。</x:v>
      </x:c>
      <x:c r="K16" s="50" t="n">
        <x:v>0</x:v>
      </x:c>
      <x:c r="L16" s="50" t="n">
        <x:v>0</x:v>
      </x:c>
      <x:c r="M16" s="50" t="str">
        <x:v>力学</x:v>
      </x:c>
      <x:c r="N16" s="42" t="str">
        <x:v>力学&gt;抛体运动&gt;平抛运动</x:v>
      </x:c>
      <x:c r="O16" s="50" t="str">
        <x:v>easy</x:v>
      </x:c>
      <x:c r="P16" s="42" t="str">
        <x:v>考查平抛运动的直接识记或单步判断，条件明确，运算与推理量较小。</x:v>
      </x:c>
      <x:c r="Q16" s="50" t="str">
        <x:v>待审核</x:v>
      </x:c>
      <x:c r="R16" s="50" t="str">
        <x:v>待审核</x:v>
      </x:c>
      <x:c r="S16" s="43" t="str">
        <x:v>试题：E:\BISHE2026\题库\理综\2023年高考真题——理综（全国甲卷）Word版含解析.doc
答案解析：E:\BISHE2026\题库\理综\2023年高考真题——理综（全国甲卷）Word版含解析.doc</x:v>
      </x:c>
    </x:row>
    <x:row r="17" ht="72" customHeight="1">
      <x:c r="A17" s="49" t="str">
        <x:v>物理</x:v>
      </x:c>
      <x:c r="B17" s="50" t="n">
        <x:v>2023</x:v>
      </x:c>
      <x:c r="C17" s="50" t="str">
        <x:v>全国</x:v>
      </x:c>
      <x:c r="D17" s="50" t="str">
        <x:v>2023年高考真题——理综（全国甲卷）</x:v>
      </x:c>
      <x:c r="E17" s="50" t="str">
        <x:v>15</x:v>
      </x:c>
      <x:c r="F17" s="50" t="str">
        <x:v>单选题</x:v>
      </x:c>
      <x:c r="G17" s="42" t="str">
        <x:v>在下列两个核反应方程中〔公式对象 F084〕、〔公式对象 F085〕，X和Y代表两种不同的原子核，以Z和A分别表示X的电荷数和质量数，则（ ）</x:v>
      </x:c>
      <x:c r="H17" s="42" t="str">
        <x:v>A. 〔公式对象 F086〕，〔公式对象 F087〕
B. 〔公式对象 F088〕，〔公式对象 F089〕
C. 〔公式对象 F090〕，〔公式对象 F091〕
D. 〔公式对象 F092〕，〔公式对象 F093〕</x:v>
      </x:c>
      <x:c r="I17" s="42" t="str">
        <x:v>D</x:v>
      </x:c>
      <x:c r="J17" s="42" t="str">
        <x:v>【详解】设Y电荷数和质量数分别为m和n，根据核反应方程质量数和电荷数守恒可知第一个核反应方程的核电荷数和质量数满足
〔公式对象 F094〕，〔公式对象 F095〕
第二个核反应方程的核电荷数和质量数满足
〔公式对象 F096〕，〔公式对象 F097〕
联立解得
〔公式对象 F098〕，〔公式对象 F099〕
故选D。</x:v>
      </x:c>
      <x:c r="K17" s="50" t="n">
        <x:v>10</x:v>
      </x:c>
      <x:c r="L17" s="50" t="n">
        <x:v>6</x:v>
      </x:c>
      <x:c r="M17" s="50" t="str">
        <x:v>近代物理</x:v>
      </x:c>
      <x:c r="N17" s="42" t="str">
        <x:v>近代物理&gt;原子核&gt;核反应中的守恒</x:v>
      </x:c>
      <x:c r="O17" s="50" t="str">
        <x:v>easy</x:v>
      </x:c>
      <x:c r="P17" s="42" t="str">
        <x:v>考查核反应中的守恒的直接识记或单步判断，条件明确，运算与推理量较小。</x:v>
      </x:c>
      <x:c r="Q17" s="50" t="str">
        <x:v>待审核</x:v>
      </x:c>
      <x:c r="R17" s="50" t="str">
        <x:v>待审核</x:v>
      </x:c>
      <x:c r="S17" s="43" t="str">
        <x:v>试题：E:\BISHE2026\题库\理综\2023年高考真题——理综（全国甲卷）Word版含解析.doc
答案解析：E:\BISHE2026\题库\理综\2023年高考真题——理综（全国甲卷）Word版含解析.doc</x:v>
      </x:c>
    </x:row>
    <x:row r="18" ht="72" customHeight="1">
      <x:c r="A18" s="49" t="str">
        <x:v>物理</x:v>
      </x:c>
      <x:c r="B18" s="50" t="n">
        <x:v>2023</x:v>
      </x:c>
      <x:c r="C18" s="50" t="str">
        <x:v>全国</x:v>
      </x:c>
      <x:c r="D18" s="50" t="str">
        <x:v>2023年高考真题——理综（全国甲卷）</x:v>
      </x:c>
      <x:c r="E18" s="50" t="str">
        <x:v>16</x:v>
      </x:c>
      <x:c r="F18" s="50" t="str">
        <x:v>单选题</x:v>
      </x:c>
      <x:c r="G18" s="42" t="str">
        <x:v>一小车沿直线运动，从t = 0开始由静止匀加速至t = t₁时刻，此后做匀减速运动，到t = t₂时刻速度降为零。在下列小车位移x与时间t的关系曲线中，可能正确的是（ ）</x:v>
      </x:c>
      <x:c r="H18" s="42" t="str">
        <x:v>A. 〔图片对象 I100〕
B. 〔图片对象 I101〕
C. 〔图片对象 I102〕
D. 〔图片对象 I103〕</x:v>
      </x:c>
      <x:c r="I18" s="42" t="str">
        <x:v>D</x:v>
      </x:c>
      <x:c r="J18" s="42" t="str">
        <x:v>【详解】x—t图像的斜率表示速度，小车先做匀加速运动，因此速度变大即0—t₁图像斜率变大，t₁—t₂做匀减速运动则图像的斜率变小，在t₂时刻停止图像的斜率变为零。
故选D。</x:v>
      </x:c>
      <x:c r="K18" s="50" t="n">
        <x:v>4</x:v>
      </x:c>
      <x:c r="L18" s="50" t="n">
        <x:v>0</x:v>
      </x:c>
      <x:c r="M18" s="50" t="str">
        <x:v>力学</x:v>
      </x:c>
      <x:c r="N18" s="42" t="str">
        <x:v>力学&gt;运动学&gt;位移—时间图像</x:v>
      </x:c>
      <x:c r="O18" s="50" t="str">
        <x:v>medium</x:v>
      </x:c>
      <x:c r="P18" s="42" t="str">
        <x:v>需要提取题干或图表信息，并结合位移—时间图像完成两步左右的判断或计算。</x:v>
      </x:c>
      <x:c r="Q18" s="50" t="str">
        <x:v>待审核</x:v>
      </x:c>
      <x:c r="R18" s="50" t="str">
        <x:v>待审核</x:v>
      </x:c>
      <x:c r="S18" s="43" t="str">
        <x:v>试题：E:\BISHE2026\题库\理综\2023年高考真题——理综（全国甲卷）Word版含解析.doc
答案解析：E:\BISHE2026\题库\理综\2023年高考真题——理综（全国甲卷）Word版含解析.doc</x:v>
      </x:c>
    </x:row>
    <x:row r="19" ht="72" customHeight="1">
      <x:c r="A19" s="49" t="str">
        <x:v>物理</x:v>
      </x:c>
      <x:c r="B19" s="50" t="n">
        <x:v>2023</x:v>
      </x:c>
      <x:c r="C19" s="50" t="str">
        <x:v>全国</x:v>
      </x:c>
      <x:c r="D19" s="50" t="str">
        <x:v>2023年高考真题——理综（全国甲卷）</x:v>
      </x:c>
      <x:c r="E19" s="50" t="str">
        <x:v>17</x:v>
      </x:c>
      <x:c r="F19" s="50" t="str">
        <x:v>单选题</x:v>
      </x:c>
      <x:c r="G19" s="42" t="str">
        <x:v>一质点做匀速圆周运动，若其所受合力的大小与轨道半径的n次方成正比，运动周期与轨道半径成反比，则n等于（ ）</x:v>
      </x:c>
      <x:c r="H19" s="42" t="str">
        <x:v>A. 1
B. 2
C. 3
D. 4</x:v>
      </x:c>
      <x:c r="I19" s="42" t="str">
        <x:v>C</x:v>
      </x:c>
      <x:c r="J19" s="42" t="str">
        <x:v>【详解】质点做匀速圆周运动，根据题意设周期
〔公式对象 F104〕
合外力等于向心力，根据
〔公式对象 F105〕
联立可得
〔公式对象 F106〕
其中〔公式对象 F107〕为常数，〔公式对象 F108〕的指数为3，故题中
〔公式对象 F109〕
故选C。</x:v>
      </x:c>
      <x:c r="K19" s="50" t="n">
        <x:v>0</x:v>
      </x:c>
      <x:c r="L19" s="50" t="n">
        <x:v>6</x:v>
      </x:c>
      <x:c r="M19" s="50" t="str">
        <x:v>力学</x:v>
      </x:c>
      <x:c r="N19" s="42" t="str">
        <x:v>力学&gt;圆周运动&gt;向心力与周期</x:v>
      </x:c>
      <x:c r="O19" s="50" t="str">
        <x:v>medium</x:v>
      </x:c>
      <x:c r="P19" s="42" t="str">
        <x:v>需要提取题干或图表信息，并结合向心力与周期完成两步左右的判断或计算。</x:v>
      </x:c>
      <x:c r="Q19" s="50" t="str">
        <x:v>待审核</x:v>
      </x:c>
      <x:c r="R19" s="50" t="str">
        <x:v>待审核</x:v>
      </x:c>
      <x:c r="S19" s="43" t="str">
        <x:v>试题：E:\BISHE2026\题库\理综\2023年高考真题——理综（全国甲卷）Word版含解析.doc
答案解析：E:\BISHE2026\题库\理综\2023年高考真题——理综（全国甲卷）Word版含解析.doc</x:v>
      </x:c>
    </x:row>
    <x:row r="20" ht="72" customHeight="1">
      <x:c r="A20" s="49" t="str">
        <x:v>物理</x:v>
      </x:c>
      <x:c r="B20" s="50" t="n">
        <x:v>2023</x:v>
      </x:c>
      <x:c r="C20" s="50" t="str">
        <x:v>全国</x:v>
      </x:c>
      <x:c r="D20" s="50" t="str">
        <x:v>2023年高考真题——理综（全国甲卷）</x:v>
      </x:c>
      <x:c r="E20" s="50" t="str">
        <x:v>18</x:v>
      </x:c>
      <x:c r="F20" s="50" t="str">
        <x:v>单选题</x:v>
      </x:c>
      <x:c r="G20" s="42" t="str">
        <x:v>在一些电子显示设备中，让阴极发射的电子束通过适当的非匀强电场，可以使发散的电子束聚集。下列4幅图中带箭头的实线表示电场线，如果用虚线表示电子可能的运动轨迹，其中正确的是（ ）</x:v>
      </x:c>
      <x:c r="H20" s="42" t="str">
        <x:v>A. 〔图片对象 I111〕
B. 〔图片对象 I112〕
C. 〔图片对象 I113〕
D. 〔图片对象 I114〕</x:v>
      </x:c>
      <x:c r="I20" s="42" t="str">
        <x:v>A</x:v>
      </x:c>
      <x:c r="J20" s="42" t="str">
        <x:v>【详解】A．电子做曲线运动满足合力指向轨迹凹侧，A正确；
B．电子做曲线运动满足合力指向轨迹凹侧，对电子受力分析有
〔图片对象 I115〕
可见与电场力的受力特点相互矛盾，B错误；
C．电子做曲线运动满足合力指向轨迹凹侧，对电子受力分析有
〔图片对象 I116〕
可见与电场力的受力特点相互矛盾，C错误；
D．电子做曲线运动满足合力指向轨迹凹侧，对电子受力分析有
〔图片对象 I117〕
可见与电场力的受力特点相互矛盾，D错误；
故选A。</x:v>
      </x:c>
      <x:c r="K20" s="50" t="n">
        <x:v>4</x:v>
      </x:c>
      <x:c r="L20" s="50" t="n">
        <x:v>3</x:v>
      </x:c>
      <x:c r="M20" s="50" t="str">
        <x:v>电磁学</x:v>
      </x:c>
      <x:c r="N20" s="42" t="str">
        <x:v>电磁学&gt;电场&gt;电场线与带电粒子轨迹</x:v>
      </x:c>
      <x:c r="O20" s="50" t="str">
        <x:v>medium</x:v>
      </x:c>
      <x:c r="P20" s="42" t="str">
        <x:v>需要提取题干或图表信息，并结合电场线与带电粒子轨迹完成两步左右的判断或计算。</x:v>
      </x:c>
      <x:c r="Q20" s="50" t="str">
        <x:v>待审核</x:v>
      </x:c>
      <x:c r="R20" s="50" t="str">
        <x:v>待审核</x:v>
      </x:c>
      <x:c r="S20" s="43" t="str">
        <x:v>试题：E:\BISHE2026\题库\理综\2023年高考真题——理综（全国甲卷）Word版含解析.doc
答案解析：E:\BISHE2026\题库\理综\2023年高考真题——理综（全国甲卷）Word版含解析.doc</x:v>
      </x:c>
    </x:row>
    <x:row r="21" ht="72" customHeight="1">
      <x:c r="A21" s="49" t="str">
        <x:v>物理</x:v>
      </x:c>
      <x:c r="B21" s="50" t="n">
        <x:v>2023</x:v>
      </x:c>
      <x:c r="C21" s="50" t="str">
        <x:v>全国</x:v>
      </x:c>
      <x:c r="D21" s="50" t="str">
        <x:v>2023年高考真题——理综（全国甲卷）</x:v>
      </x:c>
      <x:c r="E21" s="50" t="str">
        <x:v>19</x:v>
      </x:c>
      <x:c r="F21" s="50" t="str">
        <x:v>多选题</x:v>
      </x:c>
      <x:c r="G21" s="42" t="str">
        <x:v>用水平拉力使质量分别为〔公式对象 F118〕、〔公式对象 F119〕的甲、乙两物体在水平桌面上由静止开始沿直线运动，两物体与桌面间的动摩擦因数分别为〔公式对象 F120〕和〔公式对象 F121〕。甲、乙两物体运动后，所受拉力F与其加速度a的关系图线如图所示。由图可知（ ）
〔图片对象 I122〕</x:v>
      </x:c>
      <x:c r="H21" s="42" t="str">
        <x:v>A. 〔公式对象 F123〕
B. 〔公式对象 F124〕
C. 〔公式对象 F125〕
D. 〔公式对象 F126〕</x:v>
      </x:c>
      <x:c r="I21" s="42" t="str">
        <x:v>BC</x:v>
      </x:c>
      <x:c r="J21" s="42" t="str">
        <x:v>【详解】根据牛顿第二定律有
F－μmg=ma
整理后有
F=ma＋μmg
则可知F—a图像的斜率为m，纵截距为μmg，则由题图可看出
m甲&gt;m乙，μ甲m甲g=μ乙m乙g
则
μ甲&lt;μ乙
故选BC。</x:v>
      </x:c>
      <x:c r="K21" s="50" t="n">
        <x:v>9</x:v>
      </x:c>
      <x:c r="L21" s="50" t="n">
        <x:v>0</x:v>
      </x:c>
      <x:c r="M21" s="50" t="str">
        <x:v>力学</x:v>
      </x:c>
      <x:c r="N21" s="42" t="str">
        <x:v>力学&gt;牛顿运动定律&gt;动力学图像</x:v>
      </x:c>
      <x:c r="O21" s="50" t="str">
        <x:v>medium</x:v>
      </x:c>
      <x:c r="P21" s="42" t="str">
        <x:v>需要提取题干或图表信息，并结合动力学图像完成两步左右的判断或计算。</x:v>
      </x:c>
      <x:c r="Q21" s="50" t="str">
        <x:v>待审核</x:v>
      </x:c>
      <x:c r="R21" s="50" t="str">
        <x:v>待审核</x:v>
      </x:c>
      <x:c r="S21" s="43" t="str">
        <x:v>试题：E:\BISHE2026\题库\理综\2023年高考真题——理综（全国甲卷）Word版含解析.doc
答案解析：E:\BISHE2026\题库\理综\2023年高考真题——理综（全国甲卷）Word版含解析.doc</x:v>
      </x:c>
    </x:row>
    <x:row r="22" ht="72" customHeight="1">
      <x:c r="A22" s="49" t="str">
        <x:v>物理</x:v>
      </x:c>
      <x:c r="B22" s="50" t="n">
        <x:v>2023</x:v>
      </x:c>
      <x:c r="C22" s="50" t="str">
        <x:v>全国</x:v>
      </x:c>
      <x:c r="D22" s="50" t="str">
        <x:v>2023年高考真题——理综（全国甲卷）</x:v>
      </x:c>
      <x:c r="E22" s="50" t="str">
        <x:v>20</x:v>
      </x:c>
      <x:c r="F22" s="50" t="str">
        <x:v>多选题</x:v>
      </x:c>
      <x:c r="G22" s="42" t="str">
        <x:v>光滑刚性绝缘圆筒内存在着平行于轴的匀强磁场，筒上P点开有一个小孔，过P的横截面是以O为圆心的圆，如图所示。一带电粒子从P点沿PO射入，然后与筒壁发生碰撞。假设粒子在每次碰撞前、后瞬间，速度沿圆上碰撞点的切线方向的分量大小不变，沿法线方向的分量大小不变、方向相反；电荷量不变。不计重力。下列说法正确的是（ ）
〔图片对象 I127〕</x:v>
      </x:c>
      <x:c r="H22" s="42" t="str">
        <x:v>A. 粒子的运动轨迹可能通过圆心O
B. 最少经2次碰撞，粒子就可能从小孔射出
C. 射入小孔时粒子的速度越大，在圆内运动时间越短
D. 每次碰撞后瞬间，粒子速度方向一定平行于碰撞点与圆心O的连线</x:v>
      </x:c>
      <x:c r="I22" s="42" t="str">
        <x:v>BD</x:v>
      </x:c>
      <x:c r="J22" s="42" t="str">
        <x:v>【详解】D．假设粒子带负电，第一次从A点和筒壁发生碰撞如图，〔公式对象 F130〕为圆周运动的圆心
〔图片对象 I131〕
由几何关系可知〔公式对象 F132〕为直角，即粒子此时的速度方向为〔公式对象 F133〕，说明粒子在和筒壁碰撞时速度会反向，由圆的对称性在其它点撞击同理，D正确；
A．假设粒子运动过程过O点，则过P点的速度的垂线和OP连线的中垂线是平行的不能交于一点确定圆心，由圆形对称性撞击筒壁以后的A点的速度垂线和AO连线的中垂线依旧平行不能确定圆心，则粒子不可能过O点，A错误；
B．由题意可知粒子射出磁场以后的圆心组成的多边形应为以筒壁的内接圆的多边形，最少应为三角形如图所示
〔图片对象 I134〕
即撞击两次，B正确；
C．速度越大粒子做圆周运动的半径越大，碰撞次数会可能增多，粒子运动时间不一定减少， C错误。
故选BD。</x:v>
      </x:c>
      <x:c r="K22" s="50" t="n">
        <x:v>1</x:v>
      </x:c>
      <x:c r="L22" s="50" t="n">
        <x:v>5</x:v>
      </x:c>
      <x:c r="M22" s="50" t="str">
        <x:v>电磁学</x:v>
      </x:c>
      <x:c r="N22" s="42" t="str">
        <x:v>电磁学&gt;磁场&gt;带电粒子在磁场中的运动</x:v>
      </x:c>
      <x:c r="O22" s="50" t="str">
        <x:v>hard</x:v>
      </x:c>
      <x:c r="P22" s="42" t="str">
        <x:v>需要综合多个条件，围绕带电粒子在磁场中的运动进行多环节推理、定量计算或实验分析。</x:v>
      </x:c>
      <x:c r="Q22" s="50" t="str">
        <x:v>待审核</x:v>
      </x:c>
      <x:c r="R22" s="50" t="str">
        <x:v>待审核</x:v>
      </x:c>
      <x:c r="S22" s="43" t="str">
        <x:v>试题：E:\BISHE2026\题库\理综\2023年高考真题——理综（全国甲卷）Word版含解析.doc
答案解析：E:\BISHE2026\题库\理综\2023年高考真题——理综（全国甲卷）Word版含解析.doc</x:v>
      </x:c>
    </x:row>
    <x:row r="23" ht="72" customHeight="1">
      <x:c r="A23" s="49" t="str">
        <x:v>物理</x:v>
      </x:c>
      <x:c r="B23" s="50" t="n">
        <x:v>2023</x:v>
      </x:c>
      <x:c r="C23" s="50" t="str">
        <x:v>全国</x:v>
      </x:c>
      <x:c r="D23" s="50" t="str">
        <x:v>2023年高考真题——理综（全国甲卷）</x:v>
      </x:c>
      <x:c r="E23" s="50" t="str">
        <x:v>21</x:v>
      </x:c>
      <x:c r="F23" s="50" t="str">
        <x:v>多选题</x:v>
      </x:c>
      <x:c r="G23" s="42" t="str">
        <x:v>一有机玻璃管竖直放在水平地面上，管上有漆包线绕成的线圈，线圈的两端与电流传感器相连，线圈在玻璃管上部的5匝均匀分布，下部的3匝也均匀分布，下部相邻两匝间的距离大于上部相邻两匝间的距离。如图（a）所示。现让一个很小的强磁体在玻璃管内沿轴线从上端口由静止下落，电流传感器测得线圈中电流I随时间t的变化如图（b）所示。则（ ）
〔图片对象 I135〕</x:v>
      </x:c>
      <x:c r="H23" s="42" t="str">
        <x:v>A. 小磁体在玻璃管内下降速度越来越快
B. 下落过程中，小磁体的N极、S极上下颠倒了8次
C. 下落过程中，小磁体受到的电磁阻力始终保持不变
D. 与上部相比，小磁体通过线圈下部的过程中，磁通量变化率的最大值更大</x:v>
      </x:c>
      <x:c r="I23" s="42" t="str">
        <x:v>AD</x:v>
      </x:c>
      <x:c r="J23" s="42" t="str">
        <x:v>【详解】AD．电流的峰值越来越大，即小磁铁在依次穿过每个线圈的过程中磁通量的变化率越来越快，因此小磁体的速度越来越大，AD正确；
B．假设小磁体是N极向下穿过线圈，则在穿入靠近每匝线圈的过程中磁通量向下增加，根据楞次定律可知线圈中产生逆时针的电流，而在穿出远离每匝线圈的过程中磁通量向下减少产生顺时针的电流，即电流方向相反，与题干图中描述的穿过线圈的过程电流方向变化相符，S极向下同理；所以磁铁穿过8匝线圈过程中会出现8个这样的图像，并且随下落速度的增加，感应电流的最大值逐渐变大，所以磁体下落过程中磁极的N、S极没有颠倒，选项B错误；
C．线圈可等效为条形磁铁，线圈的电流越大则磁性越强，因此电流的大小是变化的小磁体受到的电磁阻力是变化的，不是一直不变的，C错误。
故选AD。
三、非选择题：共174分，第22~32题为必考题，每个试题考生都必须作答。第33~38题为选考题，考生根据要求作答。
（一）必考题：共129分。</x:v>
      </x:c>
      <x:c r="K23" s="50" t="n">
        <x:v>1</x:v>
      </x:c>
      <x:c r="L23" s="50" t="n">
        <x:v>0</x:v>
      </x:c>
      <x:c r="M23" s="50" t="str">
        <x:v>电磁学</x:v>
      </x:c>
      <x:c r="N23" s="42" t="str">
        <x:v>电磁学&gt;电磁感应&gt;感应电流图像</x:v>
      </x:c>
      <x:c r="O23" s="50" t="str">
        <x:v>hard</x:v>
      </x:c>
      <x:c r="P23" s="42" t="str">
        <x:v>需要综合多个条件，围绕感应电流图像进行多环节推理、定量计算或实验分析。</x:v>
      </x:c>
      <x:c r="Q23" s="50" t="str">
        <x:v>待审核</x:v>
      </x:c>
      <x:c r="R23" s="50" t="str">
        <x:v>待审核</x:v>
      </x:c>
      <x:c r="S23" s="43" t="str">
        <x:v>试题：E:\BISHE2026\题库\理综\2023年高考真题——理综（全国甲卷）Word版含解析.doc
答案解析：E:\BISHE2026\题库\理综\2023年高考真题——理综（全国甲卷）Word版含解析.doc</x:v>
      </x:c>
    </x:row>
    <x:row r="24" ht="72" customHeight="1">
      <x:c r="A24" s="49" t="str">
        <x:v>物理</x:v>
      </x:c>
      <x:c r="B24" s="50" t="n">
        <x:v>2023</x:v>
      </x:c>
      <x:c r="C24" s="50" t="str">
        <x:v>全国</x:v>
      </x:c>
      <x:c r="D24" s="50" t="str">
        <x:v>2023年高考真题——理综（全国甲卷）</x:v>
      </x:c>
      <x:c r="E24" s="50" t="str">
        <x:v>22</x:v>
      </x:c>
      <x:c r="F24" s="50" t="str">
        <x:v>实验填空题</x:v>
      </x:c>
      <x:c r="G24" s="42" t="str">
        <x:v>某同学用伏安法测绘一额定电压为6V、额定功率为3W的小灯泡的伏安特性曲线，实验所用电压表内阻约为〔公式对象 F136〕，电流表内阻约为〔公式对象 F137〕．实验中有图（a）和（b）两个电路图供选择。
〔图片对象 I138〕
（1）实验中得到的电流I和电压U的关系曲线如图（c）所示，该同学选择的电路图是图________（填“a”或“b”）
（2）若选择另一个电路图进行实验，在答题卡所给图上用实线画出实验中应得到的关系曲线的示意图______。</x:v>
      </x:c>
      <x:c r="H24" s="42" t="str"/>
      <x:c r="I24" s="42" t="str">
        <x:v>①. a ②. 〔图片对象 I139〕</x:v>
      </x:c>
      <x:c r="J24" s="42" t="str">
        <x:v>【详解】（1）[1]灯泡电阻
〔公式对象 F140〕
由U-I图像可知，当U=6V时，I=0.5A，此时电阻
〔公式对象 F141〕
可知电表内阻对电路的影响较小，因〔公式对象 F142〕，则该同学采用电流表外接法，则该同学选择的电路图是图（a）。
[2]若选用另一个电路图即图（b）实验，会有
U = U灯＋IRA
则分别代入电流200mA、400mA、500mA，可知对应的电压应为1.3V、4.0V、6.75V，描点连线有
〔图片对象 I143〕</x:v>
      </x:c>
      <x:c r="K24" s="50" t="n">
        <x:v>3</x:v>
      </x:c>
      <x:c r="L24" s="50" t="n">
        <x:v>5</x:v>
      </x:c>
      <x:c r="M24" s="50" t="str">
        <x:v>实验</x:v>
      </x:c>
      <x:c r="N24" s="42" t="str">
        <x:v>实验&gt;电学实验&gt;小灯泡伏安特性曲线</x:v>
      </x:c>
      <x:c r="O24" s="50" t="str">
        <x:v>medium</x:v>
      </x:c>
      <x:c r="P24" s="42" t="str">
        <x:v>需要提取题干或图表信息，并结合小灯泡伏安特性曲线完成两步左右的判断或计算。</x:v>
      </x:c>
      <x:c r="Q24" s="50" t="str">
        <x:v>待审核</x:v>
      </x:c>
      <x:c r="R24" s="50" t="str">
        <x:v>待审核</x:v>
      </x:c>
      <x:c r="S24" s="43" t="str">
        <x:v>试题：E:\BISHE2026\题库\理综\2023年高考真题——理综（全国甲卷）Word版含解析.doc
答案解析：E:\BISHE2026\题库\理综\2023年高考真题——理综（全国甲卷）Word版含解析.doc</x:v>
      </x:c>
    </x:row>
    <x:row r="25" ht="72" customHeight="1">
      <x:c r="A25" s="49" t="str">
        <x:v>物理</x:v>
      </x:c>
      <x:c r="B25" s="50" t="n">
        <x:v>2023</x:v>
      </x:c>
      <x:c r="C25" s="50" t="str">
        <x:v>全国</x:v>
      </x:c>
      <x:c r="D25" s="50" t="str">
        <x:v>2023年高考真题——理综（全国甲卷）</x:v>
      </x:c>
      <x:c r="E25" s="50" t="str">
        <x:v>23</x:v>
      </x:c>
      <x:c r="F25" s="50" t="str">
        <x:v>实验填空题</x:v>
      </x:c>
      <x:c r="G25" s="42" t="str">
        <x:v>某同学利用如图（a）所示的实验装置探究物体做直线运动时平均速度与时间的关系。让小车左端和纸带相连。右端用细绳跨过定滑轮和钩码相连。钩码下落，带动小车运动，打点计时器打出纸带。某次实验得到的纸带和相关数据如图（b）所示。
〔图片对象 I144〕
（1）已知打出图（b）中相邻两个计数点的时间间隔均为0.1s．以打出A点时小车位置为初始位置，将打出B、C、D、E、F各点时小车的位移〔公式对象 F145〕填到表中，小车发生对应位移和平均速度分别为〔公式对象 F146〕和〔公式对象 F147〕，表中〔公式对象 F148〕________cm，〔公式对象 F149〕________〔公式对象 F150〕。
〔图片对象 I151〕
〔表格开始〕
| 位移区间 | AB | AC | AD | AE | AF |
| 〔公式对象 F152〕 | 6.60 | 14.60 | 〔公式对象 F155〕 | 34.90 | 47.30 |
| 〔公式对象 F156〕 | 66.0 | 73.0 | 〔公式对象 F157〕 | 87.3 | 94.6 |
〔表格结束〕
（2）根据表中数据得到小车平均速度〔公式对象 F158〕随时间〔公式对象 F159〕的变化关系，如图（c）所示。在答题卡上的图中补全实验点_____。
〔图片对象 I160〕
（3）从实验结果可知，小车运动的〔公式对象 F161〕图线可视为一条直线，此直线用方程〔公式对象 F162〕表示，其中〔公式对象 F163〕________〔公式对象 F164〕，〔公式对象 F165〕________cm/s。（结果均保留3位有效数字）
（4）根据（3）中的直线方程可以判定小车做匀加速直线运动，得到打出A点时小车速度大小〔公式对象 F166〕________，小车的加速度大小〔公式对象 F167〕________。（结果用字母k、b表示）</x:v>
      </x:c>
      <x:c r="H25" s="42" t="str"/>
      <x:c r="I25" s="42" t="str">
        <x:v>①. 24.00 ②. 80 ③. 〔图片对象 I168〕纵坐标中单位错误，应该是s⁻¹，参考题干 ④. 70.0 ⑤. 59.0 ⑥. b ⑦. 2k</x:v>
      </x:c>
      <x:c r="J25" s="42" t="str">
        <x:v>【详解】（1）[1]根据纸带的数据可得
〔公式对象 F169〕
[2]平均速度为
〔公式对象 F170〕
（2）[3]根据第（1）小题结果补充表格和补全实验点图像得
〔图片对象 I171〕 纵坐标中单位错误，应该是s⁻¹，参考题干
（3）[4][5]从实验结果可知，小车运动的〔公式对象 F172〕图线可视为一条直线，图像为
〔图片对象 I173〕 纵坐标中单位错误，应该是s⁻¹，参考题干
此直线用方程〔公式对象 F174〕表示，由图像可知其中
〔公式对象 F175〕，〔公式对象 F176〕
（4）[6][7]小球做匀变速直线运动，由位移公式〔公式对象 F177〕，整理得
〔公式对象 F178〕
即
〔公式对象 F179〕
故根据图像斜率和截距可得
〔公式对象 F180〕，〔公式对象 F181〕</x:v>
      </x:c>
      <x:c r="K25" s="50" t="n">
        <x:v>22</x:v>
      </x:c>
      <x:c r="L25" s="50" t="n">
        <x:v>14</x:v>
      </x:c>
      <x:c r="M25" s="50" t="str">
        <x:v>实验</x:v>
      </x:c>
      <x:c r="N25" s="42" t="str">
        <x:v>实验&gt;力学实验&gt;纸带与平均速度</x:v>
      </x:c>
      <x:c r="O25" s="50" t="str">
        <x:v>hard</x:v>
      </x:c>
      <x:c r="P25" s="42" t="str">
        <x:v>需要综合多个条件，围绕纸带与平均速度进行多环节推理、定量计算或实验分析。</x:v>
      </x:c>
      <x:c r="Q25" s="50" t="str">
        <x:v>待审核</x:v>
      </x:c>
      <x:c r="R25" s="50" t="str">
        <x:v>待审核</x:v>
      </x:c>
      <x:c r="S25" s="43" t="str">
        <x:v>试题：E:\BISHE2026\题库\理综\2023年高考真题——理综（全国甲卷）Word版含解析.doc
答案解析：E:\BISHE2026\题库\理综\2023年高考真题——理综（全国甲卷）Word版含解析.doc</x:v>
      </x:c>
    </x:row>
    <x:row r="26" ht="72" customHeight="1">
      <x:c r="A26" s="49" t="str">
        <x:v>物理</x:v>
      </x:c>
      <x:c r="B26" s="50" t="n">
        <x:v>2023</x:v>
      </x:c>
      <x:c r="C26" s="50" t="str">
        <x:v>全国</x:v>
      </x:c>
      <x:c r="D26" s="50" t="str">
        <x:v>2023年高考真题——理综（全国甲卷）</x:v>
      </x:c>
      <x:c r="E26" s="50" t="str">
        <x:v>24</x:v>
      </x:c>
      <x:c r="F26" s="50" t="str">
        <x:v>解答题</x:v>
      </x:c>
      <x:c r="G26" s="42" t="str">
        <x:v>如图，光滑水平桌面上有一轻质弹簧，其一端固定在墙上。用质量为m的小球压弹簧的另一端，使弹簧的弹性势能为〔公式对象 F182〕。释放后，小球在弹簧作用下从静止开始在桌面上运动，与弹簧分离后，从桌面水平飞出。小球与水平地面碰撞后瞬间，其平行于地面的速度分量与碰撞前瞬间相等；垂直于地面的速度分量大小变为碰撞前瞬间的〔公式对象 F183〕。小球与地面碰撞后，弹起的最大高度为h。重力加速度大小为g，忽略空气阻力。求
（1）小球离开桌面时的速度大小；
（2）小球第一次落地点距桌面上其飞出点的水平距离。
〔图片对象 I184〕</x:v>
      </x:c>
      <x:c r="H26" s="42" t="str"/>
      <x:c r="I26" s="42" t="str">
        <x:v>（1）〔公式对象 F185〕；（2）〔公式对象 F186〕</x:v>
      </x:c>
      <x:c r="J26" s="42" t="str">
        <x:v>【详解】（1）由小球和弹簧组成的系统机械能守恒可知
〔公式对象 F187〕
得小球离开桌面时速度大小为
〔公式对象 F188〕
（2）离开桌面后由平抛运动规律可得
〔公式对象 F189〕
第一次碰撞前速度的竖直分量为〔公式对象 F190〕，由题可知
〔公式对象 F191〕
离开桌面后由平抛运动规律得
〔公式对象 F192〕，〔公式对象 F193〕
解得小球第一次落地点距桌面上其飞出的水平距离为
〔公式对象 F194〕〔公式对象 F195〕</x:v>
      </x:c>
      <x:c r="K26" s="50" t="n">
        <x:v>3</x:v>
      </x:c>
      <x:c r="L26" s="50" t="n">
        <x:v>11</x:v>
      </x:c>
      <x:c r="M26" s="50" t="str">
        <x:v>力学</x:v>
      </x:c>
      <x:c r="N26" s="42" t="str">
        <x:v>力学&gt;功能关系&gt;弹性势能与动能；力学&gt;抛体运动&gt;平抛运动</x:v>
      </x:c>
      <x:c r="O26" s="50" t="str">
        <x:v>medium</x:v>
      </x:c>
      <x:c r="P26" s="42" t="str">
        <x:v>需要提取题干或图表信息，并结合弹性势能与动能完成两步左右的判断或计算。</x:v>
      </x:c>
      <x:c r="Q26" s="50" t="str">
        <x:v>待审核</x:v>
      </x:c>
      <x:c r="R26" s="50" t="str">
        <x:v>待审核</x:v>
      </x:c>
      <x:c r="S26" s="43" t="str">
        <x:v>试题：E:\BISHE2026\题库\理综\2023年高考真题——理综（全国甲卷）Word版含解析.doc
答案解析：E:\BISHE2026\题库\理综\2023年高考真题——理综（全国甲卷）Word版含解析.doc</x:v>
      </x:c>
    </x:row>
    <x:row r="27" ht="72" customHeight="1">
      <x:c r="A27" s="49" t="str">
        <x:v>物理</x:v>
      </x:c>
      <x:c r="B27" s="50" t="n">
        <x:v>2023</x:v>
      </x:c>
      <x:c r="C27" s="50" t="str">
        <x:v>全国</x:v>
      </x:c>
      <x:c r="D27" s="50" t="str">
        <x:v>2023年高考真题——理综（全国甲卷）</x:v>
      </x:c>
      <x:c r="E27" s="50" t="str">
        <x:v>25</x:v>
      </x:c>
      <x:c r="F27" s="50" t="str">
        <x:v>解答题</x:v>
      </x:c>
      <x:c r="G27" s="42" t="str">
        <x:v>如图，水平桌面上固定一光滑U型金属导轨，其平行部分的间距为〔公式对象 F196〕，导轨的最右端与桌子右边缘对齐，导轨的电阻忽略不计。导轨所在区域有方向竖直向上的匀强磁场，磁感应强度大小为〔公式对象 F197〕。一质量为〔公式对象 F198〕、电阻为〔公式对象 F199〕、长度也为〔公式对象 F200〕的金属棒P静止在导轨上。导轨上质量为〔公式对象 F201〕的绝缘棒Q位于P的左侧，以大小为〔公式对象 F202〕的速度向P运动并与P发生弹性碰撞，碰撞时间很短。碰撞一次后，P和Q先后从导轨的最右端滑出导轨，并落在地面上同一地点。P在导轨上运动时，两端与导轨接触良好，P与Q始终平行。不计空气阻力。求
（1）金属棒P滑出导轨时的速度大小；
（2）金属棒P在导轨上运动过程中产生的热量；
（3）与P碰撞后，绝缘棒Q在导轨上运动的时间。
〔图片对象 I203〕</x:v>
      </x:c>
      <x:c r="H27" s="42" t="str"/>
      <x:c r="I27" s="42" t="str">
        <x:v>（1）〔公式对象 F204〕；（2）〔公式对象 F205〕；（3）〔公式对象 F206〕</x:v>
      </x:c>
      <x:c r="J27" s="42" t="str">
        <x:v>【详解】（1）由于绝缘棒Q与金属棒P发生弹性碰撞，根据动量守恒和机械能守恒可得
〔公式对象 F207〕
〔公式对象 F208〕
联立解得
〔公式对象 F209〕，〔公式对象 F210〕
由题知，碰撞一次后，P和Q先后从导轨的最右端滑出导轨，并落在地面上同一地点，则金属棒P滑出导轨时的速度大小为
〔公式对象 F211〕
（2）根据能量守恒有
〔公式对象 F212〕
解得
〔公式对象 F213〕
（3）P、Q碰撞后，对金属棒P分析，根据动量定理得
〔公式对象 F214〕
又
〔公式对象 F215〕，〔公式对象 F216〕
联立可得
〔公式对象 F217〕
由于Q为绝缘棒，无电流通过，做匀速直线运动，故Q运动的时间为
〔公式对象 F218〕</x:v>
      </x:c>
      <x:c r="K27" s="50" t="n">
        <x:v>8</x:v>
      </x:c>
      <x:c r="L27" s="50" t="n">
        <x:v>15</x:v>
      </x:c>
      <x:c r="M27" s="50" t="str">
        <x:v>电磁学</x:v>
      </x:c>
      <x:c r="N27" s="42" t="str">
        <x:v>电磁学&gt;电磁感应&gt;电磁阻尼；力学&gt;碰撞与动量守恒&gt;弹性碰撞</x:v>
      </x:c>
      <x:c r="O27" s="50" t="str">
        <x:v>hard</x:v>
      </x:c>
      <x:c r="P27" s="42" t="str">
        <x:v>需要综合多个条件，围绕电磁阻尼进行多环节推理、定量计算或实验分析。</x:v>
      </x:c>
      <x:c r="Q27" s="50" t="str">
        <x:v>待审核</x:v>
      </x:c>
      <x:c r="R27" s="50" t="str">
        <x:v>待审核</x:v>
      </x:c>
      <x:c r="S27" s="43" t="str">
        <x:v>试题：E:\BISHE2026\题库\理综\2023年高考真题——理综（全国甲卷）Word版含解析.doc
答案解析：E:\BISHE2026\题库\理综\2023年高考真题——理综（全国甲卷）Word版含解析.doc</x:v>
      </x:c>
    </x:row>
    <x:row r="28" ht="72" customHeight="1">
      <x:c r="A28" s="49" t="str">
        <x:v>物理</x:v>
      </x:c>
      <x:c r="B28" s="50" t="n">
        <x:v>2023</x:v>
      </x:c>
      <x:c r="C28" s="50" t="str">
        <x:v>全国</x:v>
      </x:c>
      <x:c r="D28" s="50" t="str">
        <x:v>2023年高考真题——理综（全国甲卷）</x:v>
      </x:c>
      <x:c r="E28" s="50" t="str">
        <x:v>33</x:v>
      </x:c>
      <x:c r="F28" s="50" t="str">
        <x:v>解答题</x:v>
      </x:c>
      <x:c r="G28" s="42" t="str">
        <x:v>[物理——选修3–3]（15分）
（1）在一汽缸中用活塞封闭着一定量的理想气体，发生下列缓慢变化过程，气体一定与外界有热量交换的过程是（ ）
A. 气体的体积不变，温度升高
B. 气体的体积减小，温度降低
C. 气体的体积减小，温度升高
D. 气体的体积增大，温度不变
E. 气体的体积增大，温度降低</x:v>
      </x:c>
      <x:c r="H28" s="42" t="str"/>
      <x:c r="I28" s="42" t="str">
        <x:v>ABD</x:v>
      </x:c>
      <x:c r="J28" s="42" t="str">
        <x:v>【详解】A．气体的体积不变温度升高，则气体的内能升高，体积不变气体做功为零，因此气体吸收热量，A正确；
B．气体的体积减小温度降低，则气体的内能降低，体积减小外界对气体做功，由热力学第一定律
〔公式对象 F371〕
可知气体对外放热，B正确；
C．气体的体积减小温度升高，则气体的内能升高，体积减小外界对气体做功，由热力学第一定律
〔公式对象 F372〕
可知Q可能等于零，即没有热量交换过程，C错误；
D．气体的体积增大温度不变则气体的内能不变，体积增大气体对外界做功，由热力学第一定律
〔公式对象 F373〕
可知
〔公式对象 F374〕
即气体吸收热量，D正确；
E．气体的体积增大温度降低则气体的内能降低，体积增大气体对外界做功，由热力学第一定律
〔公式对象 F375〕
可知Q可能等于零，即没有热量交换过程，E错误。
故选ABD。
（2）一高压舱内气体的压强为1.2个大气压，温度为17℃，密度为1.46kg/m³。
（i）升高气体温度并释放出舱内部分气体以保持压强不变，求气体温度升至27℃时舱内气体的密度；
（ii）保持温度27℃不变，再释放出舱内部分气体使舱内压强降至1.0个大气压，求舱内气体的密度。
【答案】（i）1.41kg/m³；（ii）1.18kg/m³
【解析】
【详解】（i）由摄氏度和开尔文温度的关系可得
T₁ = 273＋17K = 290K，T₂ = 273＋27K = 300K
理想气体状态方程pV = nRT可知
〔公式对象 F376〕
其中n为封闭气体的物质的量，即理想气体的〔公式对象 F377〕正比于气体的质量，则
〔公式对象 F378〕
其中p₁ = p₂ = 1.2p₀，ρ₁ = 1.46kg/m³，代入数据解得
ρ₂ = 1.41kg/m³
（ii）由题意得p₃ = p₀，T₃ = 273＋27K = 300K同理可得
〔公式对象 F379〕
解得
ρ₃ = 1.18kg/m³</x:v>
      </x:c>
      <x:c r="K28" s="50" t="n">
        <x:v>0</x:v>
      </x:c>
      <x:c r="L28" s="50" t="n">
        <x:v>9</x:v>
      </x:c>
      <x:c r="M28" s="50" t="str">
        <x:v>热学</x:v>
      </x:c>
      <x:c r="N28" s="42" t="str">
        <x:v>热学&gt;理想气体&gt;热力学第一定律</x:v>
      </x:c>
      <x:c r="O28" s="50" t="str">
        <x:v>hard</x:v>
      </x:c>
      <x:c r="P28" s="42" t="str">
        <x:v>需要综合多个条件，围绕热力学第一定律进行多环节推理、定量计算或实验分析。</x:v>
      </x:c>
      <x:c r="Q28" s="50" t="str">
        <x:v>待审核</x:v>
      </x:c>
      <x:c r="R28" s="50" t="str">
        <x:v>待审核</x:v>
      </x:c>
      <x:c r="S28" s="43" t="str">
        <x:v>试题：E:\BISHE2026\题库\理综\2023年高考真题——理综（全国甲卷）Word版含解析.doc
答案解析：E:\BISHE2026\题库\理综\2023年高考真题——理综（全国甲卷）Word版含解析.doc</x:v>
      </x:c>
    </x:row>
    <x:row r="29" ht="72" customHeight="1">
      <x:c r="A29" s="49" t="str">
        <x:v>物理</x:v>
      </x:c>
      <x:c r="B29" s="50" t="n">
        <x:v>2023</x:v>
      </x:c>
      <x:c r="C29" s="50" t="str">
        <x:v>全国</x:v>
      </x:c>
      <x:c r="D29" s="50" t="str">
        <x:v>2023年高考真题——理综（全国甲卷）</x:v>
      </x:c>
      <x:c r="E29" s="50" t="str">
        <x:v>34</x:v>
      </x:c>
      <x:c r="F29" s="50" t="str">
        <x:v>解答题</x:v>
      </x:c>
      <x:c r="G29" s="42" t="str">
        <x:v>[物理——选修3–4]（15分）
（1） 等腰三角形△abc为一棱镜的横截面，ab = ac；一平行于bc边的细光束从ab边射入棱镜，在bc边反射后从ac边射出，出射光分成了不同颜色的两束，甲光的出射点在乙光的下方，如图所示。不考虑多次反射。下列说法正确的是（ ）
〔图片对象 I380〕
A. 甲光的波长比乙光的长
B. 甲光的频率比乙光的高
C. 在棱镜中的传播速度，甲光比乙光的大
D. 该棱镜对甲光的折射率大于对乙光的折射率
E. 在棱镜内bc边反射时的入射角，甲光比乙光的大</x:v>
      </x:c>
      <x:c r="H29" s="42" t="str"/>
      <x:c r="I29" s="42" t="str">
        <x:v>ACE</x:v>
      </x:c>
      <x:c r="J29" s="42" t="str">
        <x:v>【详解】ABD．根据折射定律和反射定律作出光路图如图所示
〔图片对象 I381〕
由图可知，乙光的折射角较小，根据折射定律可知乙光的折射率大，则乙光的频率大，根据c = fλ可知，乙光的波长短，A正确、BD错误；
C．根据〔公式对象 F382〕可知在棱镜中的传播速度，甲光比乙光的大，C正确；
E．根据几何关系可知光在棱镜内bc边反射时的入射角，甲光比乙光的大，E正确。
故选ACE。
（2）分别沿x轴正向和负向传播的两列简谐横波P、Q的振动方向相同,振幅均为5cm，波长均为8m，波速均为4m/s。〔公式对象 F383〕时刻，P波刚好传播到坐标原点,该处的质点将自平衡位置向下振动；Q波刚好传到〔公式对象 F384〕处，该处的质点将自平衡位置向上振动。经过一段时间后，两列波相遇。
（1）在答题卡给出的坐标图上分别画出P、Q两列波在〔公式对象 F385〕时刻的波形图（P波用虚线，Q波用实线）；
（2）求出图示范围内的介质中，因两列波干涉而振动振幅最大和振幅最小的平衡位置。
〔图片对象 I386〕
【答案】（1）〔图片对象 I387〕 ；（2）见解析
【解析】
【详解】（1）根据〔公式对象 F388〕得
〔公式对象 F389〕
可知〔公式对象 F390〕时P波刚好传播到〔公式对象 F391〕处，Q波刚好传播到〔公式对象 F392〕处，根据上坡下坡法可得波形图如图所示
〔图片对象 I393〕
（2）两列波在图示范围内任一位置的波程差为
〔公式对象 F394〕
根据题意可知，P、Q两波振动频率相同，振动方向相反，两波叠加时，振动加强点的条件为到两波源的距离差
〔公式对象 F395〕
解得振幅最大的平衡位置有
〔公式对象 F396〕、〔公式对象 F397〕
振动减弱的条件为
〔公式对象 F398〕
解得振幅最小的平衡位置有
〔公式对象 F399〕、〔公式对象 F400〕、〔公式对象 F401〕</x:v>
      </x:c>
      <x:c r="K29" s="50" t="n">
        <x:v>1</x:v>
      </x:c>
      <x:c r="L29" s="50" t="n">
        <x:v>21</x:v>
      </x:c>
      <x:c r="M29" s="50" t="str">
        <x:v>光学</x:v>
      </x:c>
      <x:c r="N29" s="42" t="str">
        <x:v>光学&gt;几何光学&gt;折射、全反射与色散</x:v>
      </x:c>
      <x:c r="O29" s="50" t="str">
        <x:v>hard</x:v>
      </x:c>
      <x:c r="P29" s="42" t="str">
        <x:v>需要综合多个条件，围绕折射、全反射与色散进行多环节推理、定量计算或实验分析。</x:v>
      </x:c>
      <x:c r="Q29" s="50" t="str">
        <x:v>待审核</x:v>
      </x:c>
      <x:c r="R29" s="50" t="str">
        <x:v>待审核</x:v>
      </x:c>
      <x:c r="S29" s="43" t="str">
        <x:v>试题：E:\BISHE2026\题库\理综\2023年高考真题——理综（全国甲卷）Word版含解析.doc
答案解析：E:\BISHE2026\题库\理综\2023年高考真题——理综（全国甲卷）Word版含解析.doc</x:v>
      </x:c>
    </x:row>
    <x:row r="30" ht="72" customHeight="1">
      <x:c r="A30" s="49" t="str">
        <x:v>物理</x:v>
      </x:c>
      <x:c r="B30" s="50" t="n">
        <x:v>2024</x:v>
      </x:c>
      <x:c r="C30" s="50" t="str">
        <x:v>全国</x:v>
      </x:c>
      <x:c r="D30" s="50" t="str">
        <x:v>2024年高考真题——理综（新课标卷）</x:v>
      </x:c>
      <x:c r="E30" s="50" t="str">
        <x:v>14</x:v>
      </x:c>
      <x:c r="F30" s="50" t="str">
        <x:v>单选题</x:v>
      </x:c>
      <x:c r="G30" s="42" t="str">
        <x:v>一质点做直线运动，下列描述其位移x或速度v随时间t变化的图像中，可能正确的是（ ）</x:v>
      </x:c>
      <x:c r="H30" s="42" t="str">
        <x:v>A. 〔图片对象 I126〕
B. 〔图片对象 I127〕
C. 〔图片对象 I128〕
D. 〔图片对象 I129〕</x:v>
      </x:c>
      <x:c r="I30" s="42" t="str">
        <x:v>C</x:v>
      </x:c>
      <x:c r="J30" s="42" t="str">
        <x:v>【详解】AB．物体做直线运动，位移与时间成函数关系，AB选项中一个时间对应2个以上的位移，故不可能，故AB错误；
CD．同理D选项中一个时间对应2个速度，只有C选项速度与时间是成函数关系，故C正确，D错误。
故选C。</x:v>
      </x:c>
      <x:c r="K30" s="50" t="n">
        <x:v>4</x:v>
      </x:c>
      <x:c r="L30" s="50" t="n">
        <x:v>0</x:v>
      </x:c>
      <x:c r="M30" s="50" t="str">
        <x:v>力学</x:v>
      </x:c>
      <x:c r="N30" s="42" t="str">
        <x:v>力学&gt;运动学&gt;运动图像</x:v>
      </x:c>
      <x:c r="O30" s="50" t="str">
        <x:v>medium</x:v>
      </x:c>
      <x:c r="P30" s="42" t="str">
        <x:v>需要提取题干或图表信息，并结合运动图像完成两步左右的判断或计算。</x:v>
      </x:c>
      <x:c r="Q30" s="50" t="str">
        <x:v>待审核</x:v>
      </x:c>
      <x:c r="R30" s="50" t="str">
        <x:v>待审核</x:v>
      </x:c>
      <x:c r="S30" s="43" t="str">
        <x:v>试题：E:\BISHE2026\题库\理综\新增\2024年高考新课标理综真题（解析版）.docx
答案解析：E:\BISHE2026\题库\理综\新增\2024年高考新课标理综真题（解析版）.docx</x:v>
      </x:c>
    </x:row>
    <x:row r="31" ht="72" customHeight="1">
      <x:c r="A31" s="49" t="str">
        <x:v>物理</x:v>
      </x:c>
      <x:c r="B31" s="50" t="n">
        <x:v>2024</x:v>
      </x:c>
      <x:c r="C31" s="50" t="str">
        <x:v>全国</x:v>
      </x:c>
      <x:c r="D31" s="50" t="str">
        <x:v>2024年高考真题——理综（新课标卷）</x:v>
      </x:c>
      <x:c r="E31" s="50" t="str">
        <x:v>15</x:v>
      </x:c>
      <x:c r="F31" s="50" t="str">
        <x:v>单选题</x:v>
      </x:c>
      <x:c r="G31" s="42" t="str">
        <x:v>福建舰是我国自主设计建造的首艘弹射型航空母舰。借助配重小车可以进行弹射测试，测试时配重小车被弹射器从甲板上水平弹出后，落到海面上。调整弹射装置，使小车水平离开甲板时的动能变为调整前的4倍。忽略空气阻力，则小车在海面上的落点与其离开甲板处的水平距离为调整前的（ ）</x:v>
      </x:c>
      <x:c r="H31" s="42" t="str">
        <x:v>A. 0.25倍
B. 0.5倍
C. 2倍
D. 4倍</x:v>
      </x:c>
      <x:c r="I31" s="42" t="str">
        <x:v>C</x:v>
      </x:c>
      <x:c r="J31" s="42" t="str">
        <x:v>【详解】动能表达式为
〔公式对象 F132〕
由题意可知小车水平离开甲板时的动能变为调整前的4倍，则离开甲板时速度变为调整前的2倍；小车离开甲板后做平抛运动，从离开甲板到到达海面上时间不变，根据
〔公式对象 F133〕
可知小车在海面上的落点与其离开甲板处的水平距离为调整前的2倍。
故选C。</x:v>
      </x:c>
      <x:c r="K31" s="50" t="n">
        <x:v>0</x:v>
      </x:c>
      <x:c r="L31" s="50" t="n">
        <x:v>2</x:v>
      </x:c>
      <x:c r="M31" s="50" t="str">
        <x:v>力学</x:v>
      </x:c>
      <x:c r="N31" s="42" t="str">
        <x:v>力学&gt;抛体运动&gt;平抛运动</x:v>
      </x:c>
      <x:c r="O31" s="50" t="str">
        <x:v>medium</x:v>
      </x:c>
      <x:c r="P31" s="42" t="str">
        <x:v>需要提取题干或图表信息，并结合平抛运动完成两步左右的判断或计算。</x:v>
      </x:c>
      <x:c r="Q31" s="50" t="str">
        <x:v>待审核</x:v>
      </x:c>
      <x:c r="R31" s="50" t="str">
        <x:v>待审核</x:v>
      </x:c>
      <x:c r="S31" s="43" t="str">
        <x:v>试题：E:\BISHE2026\题库\理综\新增\2024年高考新课标理综真题（解析版）.docx
答案解析：E:\BISHE2026\题库\理综\新增\2024年高考新课标理综真题（解析版）.docx</x:v>
      </x:c>
    </x:row>
    <x:row r="32" ht="72" customHeight="1">
      <x:c r="A32" s="49" t="str">
        <x:v>物理</x:v>
      </x:c>
      <x:c r="B32" s="50" t="n">
        <x:v>2024</x:v>
      </x:c>
      <x:c r="C32" s="50" t="str">
        <x:v>全国</x:v>
      </x:c>
      <x:c r="D32" s="50" t="str">
        <x:v>2024年高考真题——理综（新课标卷）</x:v>
      </x:c>
      <x:c r="E32" s="50" t="str">
        <x:v>16</x:v>
      </x:c>
      <x:c r="F32" s="50" t="str">
        <x:v>单选题</x:v>
      </x:c>
      <x:c r="G32" s="42" t="str">
        <x:v>天文学家发现，在太阳系外的一颗红矮星有两颗行星绕其运行，其中行星GJ1002c的轨道近似为圆，轨道半径约为日地距离的0.07倍，周期约为0.06年，则这颗红矮星的质量约为太阳质量的（ ）</x:v>
      </x:c>
      <x:c r="H32" s="42" t="str">
        <x:v>A. 0.001倍
B. 0.1倍
C. 10倍
D. 1000倍</x:v>
      </x:c>
      <x:c r="I32" s="42" t="str">
        <x:v>B</x:v>
      </x:c>
      <x:c r="J32" s="42" t="str">
        <x:v>【详解】设红矮星质量为M₁，行星质量为m₁，半径为r₁，周期为T₁；太阳的质量为M₂，地球质量为m₂，到太阳距离为r₂，周期为T₂；根据万有引力定律有
〔公式对象 F134〕
〔公式对象 F135〕
联立可得
〔公式对象 F136〕
由于轨道半径约为日地距离的0.07倍，周期约为0.06年，可得
〔公式对象 F137〕
故选B。</x:v>
      </x:c>
      <x:c r="K32" s="50" t="n">
        <x:v>0</x:v>
      </x:c>
      <x:c r="L32" s="50" t="n">
        <x:v>4</x:v>
      </x:c>
      <x:c r="M32" s="50" t="str">
        <x:v>力学</x:v>
      </x:c>
      <x:c r="N32" s="42" t="str">
        <x:v>力学&gt;万有引力与航天&gt;开普勒第三定律</x:v>
      </x:c>
      <x:c r="O32" s="50" t="str">
        <x:v>medium</x:v>
      </x:c>
      <x:c r="P32" s="42" t="str">
        <x:v>需要提取题干或图表信息，并结合开普勒第三定律完成两步左右的判断或计算。</x:v>
      </x:c>
      <x:c r="Q32" s="50" t="str">
        <x:v>待审核</x:v>
      </x:c>
      <x:c r="R32" s="50" t="str">
        <x:v>待审核</x:v>
      </x:c>
      <x:c r="S32" s="43" t="str">
        <x:v>试题：E:\BISHE2026\题库\理综\新增\2024年高考新课标理综真题（解析版）.docx
答案解析：E:\BISHE2026\题库\理综\新增\2024年高考新课标理综真题（解析版）.docx</x:v>
      </x:c>
    </x:row>
    <x:row r="33" ht="72" customHeight="1">
      <x:c r="A33" s="49" t="str">
        <x:v>物理</x:v>
      </x:c>
      <x:c r="B33" s="50" t="n">
        <x:v>2024</x:v>
      </x:c>
      <x:c r="C33" s="50" t="str">
        <x:v>全国</x:v>
      </x:c>
      <x:c r="D33" s="50" t="str">
        <x:v>2024年高考真题——理综（新课标卷）</x:v>
      </x:c>
      <x:c r="E33" s="50" t="str">
        <x:v>17</x:v>
      </x:c>
      <x:c r="F33" s="50" t="str">
        <x:v>单选题</x:v>
      </x:c>
      <x:c r="G33" s="42" t="str">
        <x:v>三位科学家由于在发现和合成量子点方面的突出贡献，荣获了2023年诺贝尔化学奖。不同尺寸的量子点会发出不同颜色的光。现有两种量子点分别发出蓝光和红光，下列说法正确的是（ ）</x:v>
      </x:c>
      <x:c r="H33" s="42" t="str">
        <x:v>A. 蓝光光子的能量大于红光光子的能量
B. 蓝光光子的动量小于红光光子的动量
C. 在玻璃中传播时，蓝光的速度大于红光的速度
D. 蓝光在玻璃中传播时的频率小于它在空气中传播时的频率</x:v>
      </x:c>
      <x:c r="I33" s="42" t="str">
        <x:v>A</x:v>
      </x:c>
      <x:c r="J33" s="42" t="str">
        <x:v>【详解】AB．由于红光的频率小于蓝光的频率，则红光的波长大于蓝光的波长，根据
〔公式对象 F138〕
可知蓝光光子的能量大于红光光子的能量；根据
〔公式对象 F139〕
可知蓝光光子的动量大于红光光子的动量，故A正确，B错误；
C．由于红光的折射率小于蓝光，根据
〔公式对象 F140〕
可知在玻璃中传播时，蓝光的速度小于红光的速度，故C错误；
D．光从一种介质射入另一种介质中频率不变，故D错误。
故选A。</x:v>
      </x:c>
      <x:c r="K33" s="50" t="n">
        <x:v>0</x:v>
      </x:c>
      <x:c r="L33" s="50" t="n">
        <x:v>3</x:v>
      </x:c>
      <x:c r="M33" s="50" t="str">
        <x:v>近代物理</x:v>
      </x:c>
      <x:c r="N33" s="42" t="str">
        <x:v>近代物理&gt;光的波粒二象性&gt;光子能量</x:v>
      </x:c>
      <x:c r="O33" s="50" t="str">
        <x:v>easy</x:v>
      </x:c>
      <x:c r="P33" s="42" t="str">
        <x:v>考查光子能量的直接识记或单步判断，条件明确，运算与推理量较小。</x:v>
      </x:c>
      <x:c r="Q33" s="50" t="str">
        <x:v>待审核</x:v>
      </x:c>
      <x:c r="R33" s="50" t="str">
        <x:v>待审核</x:v>
      </x:c>
      <x:c r="S33" s="43" t="str">
        <x:v>试题：E:\BISHE2026\题库\理综\新增\2024年高考新课标理综真题（解析版）.docx
答案解析：E:\BISHE2026\题库\理综\新增\2024年高考新课标理综真题（解析版）.docx</x:v>
      </x:c>
    </x:row>
    <x:row r="34" ht="72" customHeight="1">
      <x:c r="A34" s="49" t="str">
        <x:v>物理</x:v>
      </x:c>
      <x:c r="B34" s="50" t="n">
        <x:v>2024</x:v>
      </x:c>
      <x:c r="C34" s="50" t="str">
        <x:v>全国</x:v>
      </x:c>
      <x:c r="D34" s="50" t="str">
        <x:v>2024年高考真题——理综（新课标卷）</x:v>
      </x:c>
      <x:c r="E34" s="50" t="str">
        <x:v>18</x:v>
      </x:c>
      <x:c r="F34" s="50" t="str">
        <x:v>单选题</x:v>
      </x:c>
      <x:c r="G34" s="42" t="str">
        <x:v>如图，两根不可伸长的等长绝缘细绳的上端均系在天花板的O点上，下端分别系有均带正电荷的小球P、Q；小球处在某一方向水平向右的匀强电场中，平衡时两细绳与竖直方向的夹角大小相等。则（ ）
〔图片对象 I142〕</x:v>
      </x:c>
      <x:c r="H34" s="42" t="str">
        <x:v>A. 两绳中的张力大小一定相等
B. P的质量一定大于Q的质量
C. P的电荷量一定小于Q的电荷量
D. P的电荷量一定大于Q的电荷量</x:v>
      </x:c>
      <x:c r="I34" s="42" t="str">
        <x:v>B</x:v>
      </x:c>
      <x:c r="J34" s="42" t="str">
        <x:v>【详解】由题意可知设Q和P两球之间的库仑力为F，绳子的拉力分别为T₁，T₂，质量分别为m₁，m₂；与竖直方向夹角为θ，对于小球Q有
〔公式对象 F143〕
〔公式对象 F144〕
对于小球P有
〔公式对象 F145〕
〔公式对象 F146〕
联立有
〔公式对象 F147〕
〔公式对象 F148〕
所以可得
〔公式对象 F149〕
又因为
〔公式对象 F150〕
可知〔公式对象 F151〕，即P的质量一定大于Q的质量；两小球的电荷量则无法判断。
故选B。</x:v>
      </x:c>
      <x:c r="K34" s="50" t="n">
        <x:v>1</x:v>
      </x:c>
      <x:c r="L34" s="50" t="n">
        <x:v>9</x:v>
      </x:c>
      <x:c r="M34" s="50" t="str">
        <x:v>电磁学</x:v>
      </x:c>
      <x:c r="N34" s="42" t="str">
        <x:v>电磁学&gt;电场&gt;带电小球平衡</x:v>
      </x:c>
      <x:c r="O34" s="50" t="str">
        <x:v>medium</x:v>
      </x:c>
      <x:c r="P34" s="42" t="str">
        <x:v>需要提取题干或图表信息，并结合带电小球平衡完成两步左右的判断或计算。</x:v>
      </x:c>
      <x:c r="Q34" s="50" t="str">
        <x:v>待审核</x:v>
      </x:c>
      <x:c r="R34" s="50" t="str">
        <x:v>待审核</x:v>
      </x:c>
      <x:c r="S34" s="43" t="str">
        <x:v>试题：E:\BISHE2026\题库\理综\新增\2024年高考新课标理综真题（解析版）.docx
答案解析：E:\BISHE2026\题库\理综\新增\2024年高考新课标理综真题（解析版）.docx</x:v>
      </x:c>
    </x:row>
    <x:row r="35" ht="72" customHeight="1">
      <x:c r="A35" s="49" t="str">
        <x:v>物理</x:v>
      </x:c>
      <x:c r="B35" s="50" t="n">
        <x:v>2024</x:v>
      </x:c>
      <x:c r="C35" s="50" t="str">
        <x:v>全国</x:v>
      </x:c>
      <x:c r="D35" s="50" t="str">
        <x:v>2024年高考真题——理综（新课标卷）</x:v>
      </x:c>
      <x:c r="E35" s="50" t="str">
        <x:v>19</x:v>
      </x:c>
      <x:c r="F35" s="50" t="str">
        <x:v>多选题</x:v>
      </x:c>
      <x:c r="G35" s="42" t="str">
        <x:v>位于坐标原点O的波源在〔公式对象 F152〕时开始振动，振动图像如图所示，所形成的简谐横波沿x轴正方向传播。平衡位置在〔公式对象 F153〕处的质点P开始振动时，波源恰好第2次处于波谷位置，则（ ）
〔图片对象 I154〕</x:v>
      </x:c>
      <x:c r="H35" s="42" t="str">
        <x:v>A. 波的周期是0.1s
B. 波的振幅是0.2m
C. 波的传播速度是10m/s
D. 平衡位置在〔公式对象 F155〕处的质点Q开始振动时，质点P处于波峰位置</x:v>
      </x:c>
      <x:c r="I35" s="42" t="str">
        <x:v>BC</x:v>
      </x:c>
      <x:c r="J35" s="42" t="str">
        <x:v>【详解】AB．波的周期和振幅与波源相同，故可知波的周期为〔公式对象 F156〕，振幅为〔公式对象 F157〕，故A错误，B正确；
C．P开始振动时，波源第2次到达波谷，故可知此时经过的时间为
〔公式对象 F158〕
故可得波速为
〔公式对象 F159〕
故C正确；
D．波从P传到Q点需要的时间为
〔公式对象 F160〕
故可知质点P处于平衡位置，故D错误。
故选BC。</x:v>
      </x:c>
      <x:c r="K35" s="50" t="n">
        <x:v>4</x:v>
      </x:c>
      <x:c r="L35" s="50" t="n">
        <x:v>5</x:v>
      </x:c>
      <x:c r="M35" s="50" t="str">
        <x:v>力学</x:v>
      </x:c>
      <x:c r="N35" s="42" t="str">
        <x:v>力学&gt;机械振动与机械波&gt;波形与振动图像</x:v>
      </x:c>
      <x:c r="O35" s="50" t="str">
        <x:v>hard</x:v>
      </x:c>
      <x:c r="P35" s="42" t="str">
        <x:v>需要综合多个条件，围绕波形与振动图像进行多环节推理、定量计算或实验分析。</x:v>
      </x:c>
      <x:c r="Q35" s="50" t="str">
        <x:v>待审核</x:v>
      </x:c>
      <x:c r="R35" s="50" t="str">
        <x:v>待审核</x:v>
      </x:c>
      <x:c r="S35" s="43" t="str">
        <x:v>试题：E:\BISHE2026\题库\理综\新增\2024年高考新课标理综真题（解析版）.docx
答案解析：E:\BISHE2026\题库\理综\新增\2024年高考新课标理综真题（解析版）.docx</x:v>
      </x:c>
    </x:row>
    <x:row r="36" ht="72" customHeight="1">
      <x:c r="A36" s="49" t="str">
        <x:v>物理</x:v>
      </x:c>
      <x:c r="B36" s="50" t="n">
        <x:v>2024</x:v>
      </x:c>
      <x:c r="C36" s="50" t="str">
        <x:v>全国</x:v>
      </x:c>
      <x:c r="D36" s="50" t="str">
        <x:v>2024年高考真题——理综（新课标卷）</x:v>
      </x:c>
      <x:c r="E36" s="50" t="str">
        <x:v>20</x:v>
      </x:c>
      <x:c r="F36" s="50" t="str">
        <x:v>多选题</x:v>
      </x:c>
      <x:c r="G36" s="42" t="str">
        <x:v>电动汽车制动时可利用车轮转动将其动能转换成电能储存起来。车轮转动时带动磁极绕固定的线圈旋转，在线圈中产生电流。磁极匀速转动的某瞬间，磁场方向恰与线圈平面垂直，如图所示。将两磁极间的磁场视为匀强磁场，则磁极再转过90°时，线圈中（ ）
〔图片对象 I161〕</x:v>
      </x:c>
      <x:c r="H36" s="42" t="str">
        <x:v>A. 电流最小
B. 电流最大
C. 电流方向由P指向Q
D. 电流方向由Q指向P</x:v>
      </x:c>
      <x:c r="I36" s="42" t="str">
        <x:v>BD</x:v>
      </x:c>
      <x:c r="J36" s="42" t="str">
        <x:v>【详解】如图开始线圈处于中性面位置，当磁极再转过90°时，此时穿过线圈的磁通量为0，故可知电流最大；在磁极转动的过程中，穿过线圈的磁通量在减小，根据楞次定律可知，此时感应电流方向由Q指向P。
故选BD。</x:v>
      </x:c>
      <x:c r="K36" s="50" t="n">
        <x:v>1</x:v>
      </x:c>
      <x:c r="L36" s="50" t="n">
        <x:v>0</x:v>
      </x:c>
      <x:c r="M36" s="50" t="str">
        <x:v>电磁学</x:v>
      </x:c>
      <x:c r="N36" s="42" t="str">
        <x:v>电磁学&gt;电磁感应&gt;交变电流的产生</x:v>
      </x:c>
      <x:c r="O36" s="50" t="str">
        <x:v>medium</x:v>
      </x:c>
      <x:c r="P36" s="42" t="str">
        <x:v>需要提取题干或图表信息，并结合交变电流的产生完成两步左右的判断或计算。</x:v>
      </x:c>
      <x:c r="Q36" s="50" t="str">
        <x:v>待审核</x:v>
      </x:c>
      <x:c r="R36" s="50" t="str">
        <x:v>待审核</x:v>
      </x:c>
      <x:c r="S36" s="43" t="str">
        <x:v>试题：E:\BISHE2026\题库\理综\新增\2024年高考新课标理综真题（解析版）.docx
答案解析：E:\BISHE2026\题库\理综\新增\2024年高考新课标理综真题（解析版）.docx</x:v>
      </x:c>
    </x:row>
    <x:row r="37" ht="72" customHeight="1">
      <x:c r="A37" s="49" t="str">
        <x:v>物理</x:v>
      </x:c>
      <x:c r="B37" s="50" t="n">
        <x:v>2024</x:v>
      </x:c>
      <x:c r="C37" s="50" t="str">
        <x:v>全国</x:v>
      </x:c>
      <x:c r="D37" s="50" t="str">
        <x:v>2024年高考真题——理综（新课标卷）</x:v>
      </x:c>
      <x:c r="E37" s="50" t="str">
        <x:v>21</x:v>
      </x:c>
      <x:c r="F37" s="50" t="str">
        <x:v>多选题</x:v>
      </x:c>
      <x:c r="G37" s="42" t="str">
        <x:v>如图，一定量理想气体的循环由下面4个过程组成：1→2为绝热过程（过程中气体不与外界交换热量），2→3为等压过程，3→4为绝热过程，4→1为等容过程。上述四个过程是四冲程柴油机工作循环的主要过程。下列说法正确的是（ ）
〔图片对象 I162〕</x:v>
      </x:c>
      <x:c r="H37" s="42" t="str">
        <x:v>A. 1→2过程中，气体内能增加
B. 2→3过程中，气体向外放热
C. 3→4过程中，气体内能不变
D. 4→1过程中，气体向外放热</x:v>
      </x:c>
      <x:c r="I37" s="42" t="str">
        <x:v>AD</x:v>
      </x:c>
      <x:c r="J37" s="42" t="str">
        <x:v>【详解】A．1→2为绝热过程，根据热力学第一定律〔公式对象 F163〕可知此时气体体积减小，外界对气体做功，故内能增加，故A正确；
B．2→3为等压过程，根据盖吕萨克定律可知气体体积增大时温度增加，内能增大，此时气体体积增大，气体对外界做功〔公式对象 F164〕，故气体吸收热量，故B错误；
C．3→4为绝热过程，此时气体体积增大，气体对外界做功〔公式对象 F165〕，根据热力学第一定律可知气体内能减小，故C错误；
D．4→1为等容过程，根据查理定律可知压强减小时温度减小，故内能减小，由于体积不变〔公式对象 F166〕，故可知气体向外放热，故D正确。
故选AD。
三、非选择题：共174分。</x:v>
      </x:c>
      <x:c r="K37" s="50" t="n">
        <x:v>1</x:v>
      </x:c>
      <x:c r="L37" s="50" t="n">
        <x:v>4</x:v>
      </x:c>
      <x:c r="M37" s="50" t="str">
        <x:v>热学</x:v>
      </x:c>
      <x:c r="N37" s="42" t="str">
        <x:v>热学&gt;理想气体&gt;循环过程与热力学第一定律</x:v>
      </x:c>
      <x:c r="O37" s="50" t="str">
        <x:v>medium</x:v>
      </x:c>
      <x:c r="P37" s="42" t="str">
        <x:v>需要提取题干或图表信息，并结合循环过程与热力学第一定律完成两步左右的判断或计算。</x:v>
      </x:c>
      <x:c r="Q37" s="50" t="str">
        <x:v>待审核</x:v>
      </x:c>
      <x:c r="R37" s="50" t="str">
        <x:v>待审核</x:v>
      </x:c>
      <x:c r="S37" s="43" t="str">
        <x:v>试题：E:\BISHE2026\题库\理综\新增\2024年高考新课标理综真题（解析版）.docx
答案解析：E:\BISHE2026\题库\理综\新增\2024年高考新课标理综真题（解析版）.docx</x:v>
      </x:c>
    </x:row>
    <x:row r="38" ht="72" customHeight="1">
      <x:c r="A38" s="49" t="str">
        <x:v>物理</x:v>
      </x:c>
      <x:c r="B38" s="50" t="n">
        <x:v>2024</x:v>
      </x:c>
      <x:c r="C38" s="50" t="str">
        <x:v>全国</x:v>
      </x:c>
      <x:c r="D38" s="50" t="str">
        <x:v>2024年高考真题——理综（新课标卷）</x:v>
      </x:c>
      <x:c r="E38" s="50" t="str">
        <x:v>22</x:v>
      </x:c>
      <x:c r="F38" s="50" t="str">
        <x:v>实验填空题</x:v>
      </x:c>
      <x:c r="G38" s="42" t="str">
        <x:v>某同学用如图所示的装置验证动量守恒定律。将斜槽轨道固定在水平桌面上，轨道末段水平，右侧端点在水平木板上的垂直投影为O，木板上叠放着白纸和复写纸。实验时先将小球a从斜槽轨道上Q处由静止释放，a从轨道右端水平飞出后落在木板上；重复多次，测出落点的平均位置P与O点的距离x，将与a半径相等的小球b置于轨道右侧端点，再将小球a从Q处由静止释放，两球碰撞后均落在木板上；重复多次，分别测出a、b两球落点的平均位置M、N与O点的距离〔公式对象 F167〕、〔公式对象 F168〕。
〔图片对象 I169〕
完成下列填空：
（1）记a、b两球的质量分别为〔公式对象 F170〕、〔公式对象 F171〕，实验中须满足条件〔公式对象 F172〕______〔公式对象 F173〕（填“&gt;”或“&lt;”）；
（2）如果测得的〔公式对象 F174〕、〔公式对象 F175〕、〔公式对象 F176〕、〔公式对象 F177〕和〔公式对象 F178〕在实验误差范围内满足关系式______，则验证了两小球在碰撞中满足动量守恒定律。实验中，用小球落点与O点的距离来代替小球水平飞出时的速度，依据是______。</x:v>
      </x:c>
      <x:c r="H38" s="42" t="str"/>
      <x:c r="I38" s="42" t="str">
        <x:v>（1）&gt; （2） ①. 〔公式对象 F179〕 ②. 小球离开斜槽末端后做平抛运动，竖直方向高度相同故下落时间相同，水平方向匀速运动直线运动，小球水平飞出时的速度与平抛运动的水平位移成正比。</x:v>
      </x:c>
      <x:c r="J38" s="42" t="str">
        <x:v>【小问1详解】
为了保证小球碰撞为对心正碰，且碰后不反弹，要求〔公式对象 F181〕；
【小问2详解】
[1]两球离开斜槽后做平抛运动，由于抛出点的高度相等，它们做平抛运动的时间t相等，碰撞前a球的速度大小
〔公式对象 F182〕
碰撞后a的速度大小
〔公式对象 F183〕
碰撞后b球的速度大小
〔公式对象 F184〕
如果碰撞过程系统动量守恒，则碰撞前后系统动量相等，则
〔公式对象 F185〕
整理得
〔公式对象 F186〕
[2]小球离开斜槽末端后做平抛运动，竖直方向高度相同故下落时间相同，水平方向匀速运动直线运动，小球水平飞出时的速度与平抛运动的水平位移成正比。</x:v>
      </x:c>
      <x:c r="K38" s="50" t="n">
        <x:v>12</x:v>
      </x:c>
      <x:c r="L38" s="50" t="n">
        <x:v>7</x:v>
      </x:c>
      <x:c r="M38" s="50" t="str">
        <x:v>实验</x:v>
      </x:c>
      <x:c r="N38" s="42" t="str">
        <x:v>实验&gt;力学实验&gt;验证动量守恒定律</x:v>
      </x:c>
      <x:c r="O38" s="50" t="str">
        <x:v>medium</x:v>
      </x:c>
      <x:c r="P38" s="42" t="str">
        <x:v>需要提取题干或图表信息，并结合验证动量守恒定律完成两步左右的判断或计算。</x:v>
      </x:c>
      <x:c r="Q38" s="50" t="str">
        <x:v>待审核</x:v>
      </x:c>
      <x:c r="R38" s="50" t="str">
        <x:v>待审核</x:v>
      </x:c>
      <x:c r="S38" s="43" t="str">
        <x:v>试题：E:\BISHE2026\题库\理综\新增\2024年高考新课标理综真题（解析版）.docx
答案解析：E:\BISHE2026\题库\理综\新增\2024年高考新课标理综真题（解析版）.docx</x:v>
      </x:c>
    </x:row>
    <x:row r="39" ht="72" customHeight="1">
      <x:c r="A39" s="49" t="str">
        <x:v>物理</x:v>
      </x:c>
      <x:c r="B39" s="50" t="n">
        <x:v>2024</x:v>
      </x:c>
      <x:c r="C39" s="50" t="str">
        <x:v>全国</x:v>
      </x:c>
      <x:c r="D39" s="50" t="str">
        <x:v>2024年高考真题——理综（新课标卷）</x:v>
      </x:c>
      <x:c r="E39" s="50" t="str">
        <x:v>23</x:v>
      </x:c>
      <x:c r="F39" s="50" t="str">
        <x:v>实验填空题</x:v>
      </x:c>
      <x:c r="G39" s="42" t="str">
        <x:v>学生实验小组要测量量程为3V的电压表V的内阻〔公式对象 F187〕。可选用的器材有：多用电表，电源E（电动势5V），电压表V₁（量程5V，内阻约3kΩ），定值电阻〔公式对象 F188〕（阻值为800Ω），滑动变阻器〔公式对象 F189〕（最大阻值50Ω），滑动变阻器〔公式对象 F190〕（最大阻值5kΩ），开关S，导线若干。
完成下列填空：
（1）利用多用电表粗测待测电压表的内阻。首先应______（把下列实验步骤前的字母按正确操作顺序排列）；
A．将红、黑表笔短接
B．调节欧姆调零旋钮，使指针指向零欧姆
C．将多用电表选择开关置于欧姆挡“×10”位置
再将多用电表的红、黑表笔分别与待测电压表的______填“正极、负极”或“负极、正极”）相连，欧姆表的指针位置如图（a）中虚线Ⅰ所示。为了减少测量误差，应将选择开关旋转到欧姆挡______（填“×1”“×100”或“〔公式对象 F191〕”）位置，重新调节后，测量得到指针位置如图（a）中实线Ⅱ所示，则组测得到的该电压表内阻为______kΩ（结果保留1位小数）；
〔图片对象 I192〕
（2）为了提高测量精度，他们设计了如图（b）所示的电路，其中滑动变阻器应选______（填“〔公式对象 F193〕”或“〔公式对象 F194〕”），闭合开关S前，滑动变阻器的滑片应置于______（填“a”或“b”）端；
（3）闭合开关S，滑动变阻器滑片滑到某一位置时，电压表〔公式对象 F195〕，待测电压表的示数分别为〔公式对象 F196〕、〔公式对象 F197〕，则待测电压表内阻〔公式对象 F198〕______（用〔公式对象 F199〕、U和〔公式对象 F200〕表示）；
（4）测量得到〔公式对象 F201〕，则待测电压表内阻〔公式对象 F202〕______〔公式对象 F203〕（结果保留3位有效数字）。</x:v>
      </x:c>
      <x:c r="H39" s="42" t="str"/>
      <x:c r="I39" s="42" t="str">
        <x:v>（1） ①. CAB ②. 负极、正极 ③. ×100 ④. 1.6
（2） ①. 〔公式对象 F204〕 ②. a
（3）〔公式对象 F205〕
（4）1.57</x:v>
      </x:c>
      <x:c r="J39" s="42" t="str">
        <x:v>【小问1详解】
[1]利用多用电表粗测待测电压表的内阻。首先应选择欧姆档即C选项：将多用电表选择开关置于欧姆挡“×10”位置；接着将红、黑表笔短接即A选项；进行欧姆调零即B选项：调节欧姆调零旋钮，使指针指向零欧姆。
故首先操作顺序为CAB。
[2]多用电表使用时电流“红进黑出”的规则可知：测量电阻时电源在多用电表表内，故将多用电表的红、黑表笔分别与待测电压表的“负极、正极”相连。
[3]读数时欧姆表的指针位置如图（a）中虚线Ⅰ所示，偏转角度较小即倍率选择过小，为了减少测量误差，应将选择开关旋转到欧姆挡倍率较大处，而根据表中数据可知选择“〔公式对象 F207〕”倍率又过大，故应选择欧姆挡“×100”的位置；
[4]测量得到指针位置如图（a）中实线Ⅱ所示，则组测得到的该电压表内阻为
〔公式对象 F208〕
【小问2详解】
[1]图（b）所示的电路，滑动变阻器采用的是分压式连接，为了方便调节，应选最大阻值较小的滑动变阻器即〔公式对象 F209〕；
[2]为保护电路，且测量电路部分电压从零开始条件，闭合开关S前，滑动变阻器的滑片应置于a端。
【小问3详解】
通过待测电压表的电流大小与定值电阻电流相同为
〔公式对象 F210〕
根据欧姆定律得待测电压表的阻值为
〔公式对象 F211〕
【小问4详解】
测量得到〔公式对象 F212〕，带入待测电压表的阻值表达式〔公式对象 F213〕则待测电压表内阻
〔公式对象 F214〕</x:v>
      </x:c>
      <x:c r="K39" s="50" t="n">
        <x:v>17</x:v>
      </x:c>
      <x:c r="L39" s="50" t="n">
        <x:v>10</x:v>
      </x:c>
      <x:c r="M39" s="50" t="str">
        <x:v>实验</x:v>
      </x:c>
      <x:c r="N39" s="42" t="str">
        <x:v>实验&gt;电学实验&gt;电压表内阻测量</x:v>
      </x:c>
      <x:c r="O39" s="50" t="str">
        <x:v>hard</x:v>
      </x:c>
      <x:c r="P39" s="42" t="str">
        <x:v>需要综合多个条件，围绕电压表内阻测量进行多环节推理、定量计算或实验分析。</x:v>
      </x:c>
      <x:c r="Q39" s="50" t="str">
        <x:v>待审核</x:v>
      </x:c>
      <x:c r="R39" s="50" t="str">
        <x:v>待审核</x:v>
      </x:c>
      <x:c r="S39" s="43" t="str">
        <x:v>试题：E:\BISHE2026\题库\理综\新增\2024年高考新课标理综真题（解析版）.docx
答案解析：E:\BISHE2026\题库\理综\新增\2024年高考新课标理综真题（解析版）.docx</x:v>
      </x:c>
    </x:row>
    <x:row r="40" ht="72" customHeight="1">
      <x:c r="A40" s="49" t="str">
        <x:v>物理</x:v>
      </x:c>
      <x:c r="B40" s="50" t="n">
        <x:v>2024</x:v>
      </x:c>
      <x:c r="C40" s="50" t="str">
        <x:v>全国</x:v>
      </x:c>
      <x:c r="D40" s="50" t="str">
        <x:v>2024年高考真题——理综（新课标卷）</x:v>
      </x:c>
      <x:c r="E40" s="50" t="str">
        <x:v>24</x:v>
      </x:c>
      <x:c r="F40" s="50" t="str">
        <x:v>解答题</x:v>
      </x:c>
      <x:c r="G40" s="42" t="str">
        <x:v>将重物从高层楼房的窗外运到地面时，为安全起见，要求下降过程中重物与楼墙保持一定的距离。如图，一种简单的操作方法是一人在高处控制一端系在重物上的绳子P，另一人在地面控制另一根一端系在重物上的绳子Q，二人配合可使重物缓慢竖直下降。若重物的质量〔公式对象 F215〕，重力加速度大小〔公式对象 F216〕，当P绳与竖直方向的夹角〔公式对象 F217〕时，Q绳与竖直方向的夹角〔公式对象 F218〕
（1）求此时P、Q绳中拉力的大小；
（2）若开始竖直下降时重物距地面的高度〔公式对象 F219〕，求在重物下降到地面的过程中，两根绳子拉力对重物做的总功。
〔图片对象 I220〕</x:v>
      </x:c>
      <x:c r="H40" s="42" t="str"/>
      <x:c r="I40" s="42" t="str">
        <x:v>（1）〔公式对象 F221〕，〔公式对象 F222〕；（2）〔公式对象 F223〕</x:v>
      </x:c>
      <x:c r="J40" s="42" t="str">
        <x:v>【详解】（1）重物下降的过程中受力平衡，设此时P、Q绳中拉力的大小分别为〔公式对象 F224〕和〔公式对象 F225〕，竖直方向
〔公式对象 F226〕
水平方向
〔公式对象 F227〕
联立代入数值得
〔公式对象 F228〕，〔公式对象 F229〕
（2）整个过程根据动能定理得
〔公式对象 F230〕
解得两根绳子拉力对重物做的总功为
〔公式对象 F231〕</x:v>
      </x:c>
      <x:c r="K40" s="50" t="n">
        <x:v>6</x:v>
      </x:c>
      <x:c r="L40" s="50" t="n">
        <x:v>11</x:v>
      </x:c>
      <x:c r="M40" s="50" t="str">
        <x:v>力学</x:v>
      </x:c>
      <x:c r="N40" s="42" t="str">
        <x:v>力学&gt;静力学与功&gt;共点力平衡和功</x:v>
      </x:c>
      <x:c r="O40" s="50" t="str">
        <x:v>medium</x:v>
      </x:c>
      <x:c r="P40" s="42" t="str">
        <x:v>需要提取题干或图表信息，并结合共点力平衡和功完成两步左右的判断或计算。</x:v>
      </x:c>
      <x:c r="Q40" s="50" t="str">
        <x:v>待审核</x:v>
      </x:c>
      <x:c r="R40" s="50" t="str">
        <x:v>待审核</x:v>
      </x:c>
      <x:c r="S40" s="43" t="str">
        <x:v>试题：E:\BISHE2026\题库\理综\新增\2024年高考新课标理综真题（解析版）.docx
答案解析：E:\BISHE2026\题库\理综\新增\2024年高考新课标理综真题（解析版）.docx</x:v>
      </x:c>
    </x:row>
    <x:row r="41" ht="72" customHeight="1">
      <x:c r="A41" s="49" t="str">
        <x:v>物理</x:v>
      </x:c>
      <x:c r="B41" s="50" t="n">
        <x:v>2024</x:v>
      </x:c>
      <x:c r="C41" s="50" t="str">
        <x:v>全国</x:v>
      </x:c>
      <x:c r="D41" s="50" t="str">
        <x:v>2024年高考真题——理综（新课标卷）</x:v>
      </x:c>
      <x:c r="E41" s="50" t="str">
        <x:v>25</x:v>
      </x:c>
      <x:c r="F41" s="50" t="str">
        <x:v>解答题</x:v>
      </x:c>
      <x:c r="G41" s="42" t="str">
        <x:v>如图，一长度〔公式对象 F232〕的均匀薄板初始时静止在一光滑平台上，薄板的右端与平台的边缘O对齐。薄板上的一小物块从薄板的左端以某一初速度向右滑动，当薄板运动的距离〔公式对象 F233〕时，物块从薄板右端水平飞出；当物块落到地面时，薄板中心恰好运动到O点。已知物块与薄板的质量相等。它们之间的动摩擦因数〔公式对象 F234〕，重力加速度大小〔公式对象 F235〕。求
（1）物块初速度大小及其在薄板上运动的时间；
（2）平台距地面的高度。
〔图片对象 I236〕</x:v>
      </x:c>
      <x:c r="H41" s="42" t="str"/>
      <x:c r="I41" s="42" t="str">
        <x:v>（1）4m/s；〔公式对象 F237〕；（2）〔公式对象 F238〕</x:v>
      </x:c>
      <x:c r="J41" s="42" t="str">
        <x:v>【详解】（1）物块在薄板上做匀减速运动的加速度大小为
〔公式对象 F239〕
薄板做加速运动的加速度
〔公式对象 F240〕
对物块
〔公式对象 F241〕
对薄板
〔公式对象 F242〕
解得
〔公式对象 F243〕
〔公式对象 F244〕
（2）物块飞离薄板后薄板得速度
〔公式对象 F245〕
物块飞离薄板后薄板做匀速运动，物块做平抛运动，则当物块落到地面时运动的时间为
〔公式对象 F246〕
则平台距地面的高度
〔公式对象 F247〕</x:v>
      </x:c>
      <x:c r="K41" s="50" t="n">
        <x:v>5</x:v>
      </x:c>
      <x:c r="L41" s="50" t="n">
        <x:v>11</x:v>
      </x:c>
      <x:c r="M41" s="50" t="str">
        <x:v>力学</x:v>
      </x:c>
      <x:c r="N41" s="42" t="str">
        <x:v>力学&gt;动量与能量&gt;板块模型</x:v>
      </x:c>
      <x:c r="O41" s="50" t="str">
        <x:v>hard</x:v>
      </x:c>
      <x:c r="P41" s="42" t="str">
        <x:v>需要综合多个条件，围绕板块模型进行多环节推理、定量计算或实验分析。</x:v>
      </x:c>
      <x:c r="Q41" s="50" t="str">
        <x:v>待审核</x:v>
      </x:c>
      <x:c r="R41" s="50" t="str">
        <x:v>待审核</x:v>
      </x:c>
      <x:c r="S41" s="43" t="str">
        <x:v>试题：E:\BISHE2026\题库\理综\新增\2024年高考新课标理综真题（解析版）.docx
答案解析：E:\BISHE2026\题库\理综\新增\2024年高考新课标理综真题（解析版）.docx</x:v>
      </x:c>
    </x:row>
    <x:row r="42" ht="72" customHeight="1">
      <x:c r="A42" s="51" t="str">
        <x:v>物理</x:v>
      </x:c>
      <x:c r="B42" s="52" t="n">
        <x:v>2024</x:v>
      </x:c>
      <x:c r="C42" s="52" t="str">
        <x:v>全国</x:v>
      </x:c>
      <x:c r="D42" s="52" t="str">
        <x:v>2024年高考真题——理综（新课标卷）</x:v>
      </x:c>
      <x:c r="E42" s="52" t="str">
        <x:v>26</x:v>
      </x:c>
      <x:c r="F42" s="52" t="str">
        <x:v>解答题</x:v>
      </x:c>
      <x:c r="G42" s="45" t="str">
        <x:v>一质量为m、电荷量为〔公式对象 F248〕的带电粒子始终在同一水平面内运动，其速度可用图示的直角坐标系内，一个点〔公式对象 F249〕表示，〔公式对象 F250〕、〔公式对象 F251〕分别为粒子速度在水平面内两个坐标轴上的分量。粒子出发时P位于图中〔公式对象 F252〕点，粒子在水平方向的匀强电场作用下运动，P点沿线段ab移动到〔公式对象 F253〕点；随后粒子离开电场，进入方向竖直、磁感应强度大小为B的匀强磁场，P点沿以O为圆心的圆弧移动至〔公式对象 F254〕点；然后粒子离开磁场返回电场，P点沿线段ca回到a点。已知任何相等的时间内P点沿图中闭合曲线通过的曲线长度都相等。不计重力。求
（1）粒子在磁场中做圆周运动的半径和周期；
（2）电场强度的大小；
（3）P点沿图中闭合曲线移动1周回到a点时，粒子位移的大小。
〔图片对象 I255〕</x:v>
      </x:c>
      <x:c r="H42" s="45" t="str"/>
      <x:c r="I42" s="45" t="str">
        <x:v>（1）〔公式对象 F256〕，〔公式对象 F257〕；（2）〔公式对象 F258〕；（3）〔公式对象 F259〕</x:v>
      </x:c>
      <x:c r="J42" s="45" t="str">
        <x:v>【详解】（1）粒子在磁场中做圆周运动时的速度为
〔公式对象 F260〕
根据洛伦兹力提供向心力
〔公式对象 F261〕
解得做圆周运动的半径为
〔公式对象 F262〕
周期为
〔公式对象 F263〕
（2）根据题意，已知任何相等的时间内P点沿图中闭合曲线通过的曲线长度都相等，由于曲线表示的为速度相应的曲线，根据〔公式对象 F264〕可知任意点的加速度大小相等，故可得
〔公式对象 F265〕
解得
〔公式对象 F266〕
（3）根据题意分析可知从b点到c点粒子在磁场中转过的角度为〔公式对象 F267〕，绕一圈的过程中两次在电场中运动，根据对称性可知粒子的运动轨迹如图，〔公式对象 F268〕角为两次粒子在电场中运动时初末位置间的位移与x轴方向的夹角，从a到b过程中粒子做类平抛运动，得
〔公式对象 F269〕
故可得该段时间内沿y方向位移为
〔公式对象 F270〕
根据几何知识可得
〔公式对象 F271〕
由粒子在两次电场中运动的对称性可知移动一周时粒子位移的大小为
〔公式对象 F272〕
联立解得
〔公式对象 F273〕
〔图片对象 I274〕</x:v>
      </x:c>
      <x:c r="K42" s="52" t="n">
        <x:v>8</x:v>
      </x:c>
      <x:c r="L42" s="52" t="n">
        <x:v>19</x:v>
      </x:c>
      <x:c r="M42" s="52" t="str">
        <x:v>电磁学</x:v>
      </x:c>
      <x:c r="N42" s="45" t="str">
        <x:v>电磁学&gt;带电粒子在组合场中的运动&gt;速度空间分析</x:v>
      </x:c>
      <x:c r="O42" s="52" t="str">
        <x:v>hard</x:v>
      </x:c>
      <x:c r="P42" s="45" t="str">
        <x:v>需要综合多个条件，围绕速度空间分析进行多环节推理、定量计算或实验分析。</x:v>
      </x:c>
      <x:c r="Q42" s="52" t="str">
        <x:v>待审核</x:v>
      </x:c>
      <x:c r="R42" s="52" t="str">
        <x:v>待审核</x:v>
      </x:c>
      <x:c r="S42" s="46" t="str">
        <x:v>试题：E:\BISHE2026\题库\理综\新增\2024年高考新课标理综真题（解析版）.docx
答案解析：E:\BISHE2026\题库\理综\新增\2024年高考新课标理综真题（解析版）.docx</x:v>
      </x:c>
    </x:row>
  </x:sheetData>
  <x:mergeCells>
    <x:mergeCell ref="A1:S1"/>
  </x:mergeCells>
  <x:dataValidations count="2">
    <x:dataValidation type="list" sqref="O3:O42">
      <x:formula1>"easy,medium,hard"</x:formula1>
    </x:dataValidation>
    <x:dataValidation type="list" sqref="Q3:R42">
      <x:formula1>"待审核,审核通过,退回修改"</x:formula1>
    </x:dataValidation>
  </x:dataValidations>
  <x:pageMargins left="0.7" right="0.7" top="0.75" bottom="0.75" header="0.3" footer="0.3"/>
  <x:tableParts count="1">
    <x:tablePart xmlns:r="http://schemas.openxmlformats.org/officeDocument/2006/relationships" r:id="R3748b10c5d61453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5.630001068115234" hidden="0" customWidth="1"/>
    <x:col min="2" max="2" width="11.25" hidden="0" customWidth="1"/>
    <x:col min="3" max="3" width="23.1299991607666" hidden="0" customWidth="1"/>
  </x:cols>
  <x:sheetData>
    <x:row r="1" ht="28" customHeight="1">
      <x:c r="A1" s="55" t="str">
        <x:v>物理母题库检查表（知识点与难度标注版）质量统计</x:v>
      </x:c>
      <x:c r="B1" s="55"/>
      <x:c r="C1" s="55"/>
    </x:row>
    <x:row r="3">
      <x:c r="A3" s="60" t="str">
        <x:v>检查项</x:v>
      </x:c>
      <x:c r="B3" s="61" t="str">
        <x:v>结果</x:v>
      </x:c>
      <x:c r="C3" s="62" t="str">
        <x:v>说明</x:v>
      </x:c>
    </x:row>
    <x:row r="4">
      <x:c r="A4" s="81" t="str">
        <x:v>题目总数</x:v>
      </x:c>
      <x:c r="B4" s="93" t="n">
        <x:f>COUNTA('题目检查'!$E$3:$E$42)</x:f>
        <x:v>40</x:v>
      </x:c>
      <x:c r="C4" s="83" t="str">
        <x:v>按题号计数</x:v>
      </x:c>
    </x:row>
    <x:row r="5">
      <x:c r="A5" s="84" t="str">
        <x:v>2023新课标卷</x:v>
      </x:c>
      <x:c r="B5" s="94" t="n">
        <x:f>COUNTIF('题目检查'!$D$3:$D$42,"2023年高考真题——理综（新课标卷）")</x:f>
        <x:v>13</x:v>
      </x:c>
      <x:c r="C5" s="86" t="str">
        <x:v>题数</x:v>
      </x:c>
    </x:row>
    <x:row r="6">
      <x:c r="A6" s="84" t="str">
        <x:v>2023全国甲卷</x:v>
      </x:c>
      <x:c r="B6" s="94" t="n">
        <x:f>COUNTIF('题目检查'!$D$3:$D$42,"2023年高考真题——理综（全国甲卷）")</x:f>
        <x:v>14</x:v>
      </x:c>
      <x:c r="C6" s="86" t="str">
        <x:v>题数</x:v>
      </x:c>
    </x:row>
    <x:row r="7">
      <x:c r="A7" s="84" t="str">
        <x:v>2024新课标卷</x:v>
      </x:c>
      <x:c r="B7" s="94" t="n">
        <x:f>COUNTIF('题目检查'!$D$3:$D$42,"2024年高考真题——理综（新课标卷）")</x:f>
        <x:v>13</x:v>
      </x:c>
      <x:c r="C7" s="86" t="str">
        <x:v>题数</x:v>
      </x:c>
    </x:row>
    <x:row r="8">
      <x:c r="A8" s="84" t="str">
        <x:v>单选题</x:v>
      </x:c>
      <x:c r="B8" s="94" t="n">
        <x:f>COUNTIF('题目检查'!$F$3:$F$42,"单选题")</x:f>
        <x:v>15</x:v>
      </x:c>
      <x:c r="C8" s="86" t="str">
        <x:v>题数</x:v>
      </x:c>
    </x:row>
    <x:row r="9">
      <x:c r="A9" s="84" t="str">
        <x:v>多选题</x:v>
      </x:c>
      <x:c r="B9" s="94" t="n">
        <x:f>COUNTIF('题目检查'!$F$3:$F$42,"多选题")</x:f>
        <x:v>9</x:v>
      </x:c>
      <x:c r="C9" s="86" t="str">
        <x:v>题数</x:v>
      </x:c>
    </x:row>
    <x:row r="10">
      <x:c r="A10" s="84" t="str">
        <x:v>实验填空题</x:v>
      </x:c>
      <x:c r="B10" s="94" t="n">
        <x:f>COUNTIF('题目检查'!$F$3:$F$42,"实验填空题")</x:f>
        <x:v>6</x:v>
      </x:c>
      <x:c r="C10" s="86" t="str">
        <x:v>题数</x:v>
      </x:c>
    </x:row>
    <x:row r="11">
      <x:c r="A11" s="84" t="str">
        <x:v>解答题</x:v>
      </x:c>
      <x:c r="B11" s="94" t="n">
        <x:f>COUNTIF('题目检查'!$F$3:$F$42,"解答题")</x:f>
        <x:v>10</x:v>
      </x:c>
      <x:c r="C11" s="86" t="str">
        <x:v>题数</x:v>
      </x:c>
    </x:row>
    <x:row r="12">
      <x:c r="A12" s="84" t="str">
        <x:v>知识点：光学</x:v>
      </x:c>
      <x:c r="B12" s="94" t="n">
        <x:f>COUNTIF('题目检查'!$M$3:$M$42,"光学")</x:f>
        <x:v>1</x:v>
      </x:c>
      <x:c r="C12" s="86" t="str">
        <x:v>按首个知识点分类</x:v>
      </x:c>
    </x:row>
    <x:row r="13">
      <x:c r="A13" s="84" t="str">
        <x:v>知识点：力学</x:v>
      </x:c>
      <x:c r="B13" s="94" t="n">
        <x:f>COUNTIF('题目检查'!$M$3:$M$42,"力学")</x:f>
        <x:v>17</x:v>
      </x:c>
      <x:c r="C13" s="86" t="str">
        <x:v>按首个知识点分类</x:v>
      </x:c>
    </x:row>
    <x:row r="14">
      <x:c r="A14" s="84" t="str">
        <x:v>知识点：实验</x:v>
      </x:c>
      <x:c r="B14" s="94" t="n">
        <x:f>COUNTIF('题目检查'!$M$3:$M$42,"实验")</x:f>
        <x:v>6</x:v>
      </x:c>
      <x:c r="C14" s="86" t="str">
        <x:v>按首个知识点分类</x:v>
      </x:c>
    </x:row>
    <x:row r="15">
      <x:c r="A15" s="84" t="str">
        <x:v>知识点：热学</x:v>
      </x:c>
      <x:c r="B15" s="94" t="n">
        <x:f>COUNTIF('题目检查'!$M$3:$M$42,"热学")</x:f>
        <x:v>3</x:v>
      </x:c>
      <x:c r="C15" s="86" t="str">
        <x:v>按首个知识点分类</x:v>
      </x:c>
    </x:row>
    <x:row r="16">
      <x:c r="A16" s="84" t="str">
        <x:v>知识点：电磁学</x:v>
      </x:c>
      <x:c r="B16" s="94" t="n">
        <x:f>COUNTIF('题目检查'!$M$3:$M$42,"电磁学")</x:f>
        <x:v>10</x:v>
      </x:c>
      <x:c r="C16" s="86" t="str">
        <x:v>按首个知识点分类</x:v>
      </x:c>
    </x:row>
    <x:row r="17">
      <x:c r="A17" s="84" t="str">
        <x:v>知识点：近代物理</x:v>
      </x:c>
      <x:c r="B17" s="94" t="n">
        <x:f>COUNTIF('题目检查'!$M$3:$M$42,"近代物理")</x:f>
        <x:v>3</x:v>
      </x:c>
      <x:c r="C17" s="86" t="str">
        <x:v>按首个知识点分类</x:v>
      </x:c>
    </x:row>
    <x:row r="18">
      <x:c r="A18" s="84" t="str">
        <x:v>难度：easy</x:v>
      </x:c>
      <x:c r="B18" s="94" t="n">
        <x:f>COUNTIF('题目检查'!$O$3:$O$42,"easy")</x:f>
        <x:v>5</x:v>
      </x:c>
      <x:c r="C18" s="86" t="str">
        <x:v>题数</x:v>
      </x:c>
    </x:row>
    <x:row r="19">
      <x:c r="A19" s="84" t="str">
        <x:v>难度：medium</x:v>
      </x:c>
      <x:c r="B19" s="94" t="n">
        <x:f>COUNTIF('题目检查'!$O$3:$O$42,"medium")</x:f>
        <x:v>19</x:v>
      </x:c>
      <x:c r="C19" s="86" t="str">
        <x:v>题数</x:v>
      </x:c>
    </x:row>
    <x:row r="20">
      <x:c r="A20" s="84" t="str">
        <x:v>难度：hard</x:v>
      </x:c>
      <x:c r="B20" s="94" t="n">
        <x:f>COUNTIF('题目检查'!$O$3:$O$42,"hard")</x:f>
        <x:v>16</x:v>
      </x:c>
      <x:c r="C20" s="86" t="str">
        <x:v>题数</x:v>
      </x:c>
    </x:row>
    <x:row r="21">
      <x:c r="A21" s="84" t="str">
        <x:v>知识点空值</x:v>
      </x:c>
      <x:c r="B21" s="94" t="n">
        <x:f>COUNTBLANK('题目检查'!$N$3:$N$42)</x:f>
        <x:v>0</x:v>
      </x:c>
      <x:c r="C21" s="86" t="str">
        <x:v>应为0</x:v>
      </x:c>
    </x:row>
    <x:row r="22">
      <x:c r="A22" s="84" t="str">
        <x:v>难度空值</x:v>
      </x:c>
      <x:c r="B22" s="94" t="n">
        <x:f>COUNTBLANK('题目检查'!$O$3:$O$42)</x:f>
        <x:v>0</x:v>
      </x:c>
      <x:c r="C22" s="86" t="str">
        <x:v>应为0</x:v>
      </x:c>
    </x:row>
    <x:row r="23">
      <x:c r="A23" s="84" t="str">
        <x:v>难度说明空值</x:v>
      </x:c>
      <x:c r="B23" s="94" t="n">
        <x:f>COUNTBLANK('题目检查'!$P$3:$P$42)</x:f>
        <x:v>0</x:v>
      </x:c>
      <x:c r="C23" s="86" t="str">
        <x:v>应为0</x:v>
      </x:c>
    </x:row>
    <x:row r="24">
      <x:c r="A24" s="84" t="str">
        <x:v>题干图片</x:v>
      </x:c>
      <x:c r="B24" s="94" t="n">
        <x:f>SUM('题目检查'!$K$3:$K$42)</x:f>
        <x:v>142</x:v>
      </x:c>
      <x:c r="C24" s="86" t="str">
        <x:v>图片记录数</x:v>
      </x:c>
    </x:row>
    <x:row r="25">
      <x:c r="A25" s="84" t="str">
        <x:v>解析图片</x:v>
      </x:c>
      <x:c r="B25" s="94" t="n">
        <x:f>SUM('题目检查'!$L$3:$L$42)</x:f>
        <x:v>263</x:v>
      </x:c>
      <x:c r="C25" s="86" t="str">
        <x:v>图片记录数</x:v>
      </x:c>
    </x:row>
    <x:row r="26">
      <x:c r="A26" s="87" t="str">
        <x:v>待审核</x:v>
      </x:c>
      <x:c r="B26" s="95" t="n">
        <x:f>COUNTIF('题目检查'!$R$3:$R$42,"待审核")</x:f>
        <x:v>40</x:v>
      </x:c>
      <x:c r="C26" s="89" t="str">
        <x:v>应等于题目总数</x:v>
      </x:c>
    </x:row>
  </x:sheetData>
  <x:mergeCells>
    <x:mergeCell ref="A1:C1"/>
  </x:mergeCells>
  <x:pageMargins left="0.7" right="0.7" top="0.75" bottom="0.75" header="0.3" footer="0.3"/>
  <x:tableParts count="1">
    <x:tablePart xmlns:r="http://schemas.openxmlformats.org/officeDocument/2006/relationships" r:id="R29598704afcb4bf8"/>
  </x:tableParts>
</x:worksheet>
</file>