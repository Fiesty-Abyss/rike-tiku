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3779b413ae4d54" /></Relationships>
</file>

<file path=xl/workbook.xml><?xml version="1.0" encoding="utf-8"?>
<x:workbook xmlns:x="http://schemas.openxmlformats.org/spreadsheetml/2006/main">
  <x:sheets>
    <x:sheet xmlns:r="http://schemas.openxmlformats.org/officeDocument/2006/relationships" name="题目检查" sheetId="1" r:id="R06b84f331c0a48e4"/>
    <x:sheet xmlns:r="http://schemas.openxmlformats.org/officeDocument/2006/relationships" name="质量统计" sheetId="2" r:id="R8bc94504c0944b9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6"/>
      <x:color rgb="FFFFFFFF"/>
      <x:name val="Carlito"/>
    </x:font>
    <x:font>
      <x:b/>
      <x:sz val="10"/>
      <x:color rgb="FF6B3F1D"/>
      <x:name val="Carlito"/>
    </x:font>
    <x:font>
      <x:sz val="9"/>
      <x:name val="Carlito"/>
    </x:font>
    <x:font>
      <x:b/>
      <x:sz val="15"/>
      <x:color rgb="FFFFFFFF"/>
      <x:name val="Carlito"/>
    </x:font>
    <x:font>
      <x:b/>
      <x:sz val="11"/>
      <x:color rgb="FF6B3F1D"/>
      <x:name val="Carlito"/>
    </x:font>
  </x:fonts>
  <x:fills count="4">
    <x:fill>
      <x:patternFill patternType="none"/>
    </x:fill>
    <x:fill>
      <x:patternFill patternType="gray125"/>
    </x:fill>
    <x:fill>
      <x:patternFill patternType="solid">
        <x:fgColor rgb="FF6B3F1D"/>
      </x:patternFill>
    </x:fill>
    <x:fill>
      <x:patternFill patternType="solid">
        <x:fgColor rgb="FFFCE4D6"/>
      </x:patternFill>
    </x:fill>
  </x:fills>
  <x:borders count="13">
    <x:border/>
    <x:border>
      <x:left style="medium">
        <x:color rgb="FF7F8C8D"/>
      </x:left>
      <x:top style="medium">
        <x:color rgb="FF7F8C8D"/>
      </x:top>
      <x:bottom style="medium">
        <x:color rgb="FF7F8C8D"/>
      </x:bottom>
    </x:border>
    <x:border>
      <x:top style="medium">
        <x:color rgb="FF7F8C8D"/>
      </x:top>
      <x:bottom style="medium">
        <x:color rgb="FF7F8C8D"/>
      </x:bottom>
    </x:border>
    <x:border>
      <x:right style="medium">
        <x:color rgb="FF7F8C8D"/>
      </x:right>
      <x:top style="medium">
        <x:color rgb="FF7F8C8D"/>
      </x:top>
      <x:bottom style="medium">
        <x:color rgb="FF7F8C8D"/>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9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3" fillId="0" borderId="0"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10" xfId="0" applyNumberFormat="1" applyFont="1" applyFill="1" applyBorder="1"/>
    <x:xf numFmtId="0" fontId="3" fillId="0" borderId="11" xfId="0" applyNumberFormat="1" applyFont="1" applyFill="1" applyBorder="1"/>
    <x:xf numFmtId="0" fontId="3" fillId="0" borderId="12" xfId="0" applyNumberFormat="1" applyFont="1" applyFill="1" applyBorder="1"/>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12" xfId="0" applyNumberFormat="1" applyFont="1" applyFill="1" applyBorder="1" applyAlignment="1">
      <x:alignment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8"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3" fillId="0" borderId="10"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3" fillId="0" borderId="4" xfId="0" applyNumberFormat="1" applyFont="1" applyFill="1" applyBorder="1" applyAlignment="1">
      <x:alignment horizontal="center" vertical="top" wrapText="1"/>
    </x:xf>
    <x:xf numFmtId="0" fontId="3" fillId="0" borderId="5" xfId="0" applyNumberFormat="1" applyFont="1" applyFill="1" applyBorder="1" applyAlignment="1">
      <x:alignment horizontal="center" vertical="top" wrapText="1"/>
    </x:xf>
    <x:xf numFmtId="0" fontId="3" fillId="0" borderId="7" xfId="0" applyNumberFormat="1" applyFont="1" applyFill="1" applyBorder="1" applyAlignment="1">
      <x:alignment horizontal="center" vertical="top" wrapText="1"/>
    </x:xf>
    <x:xf numFmtId="0" fontId="3" fillId="0" borderId="8" xfId="0" applyNumberFormat="1" applyFont="1" applyFill="1" applyBorder="1" applyAlignment="1">
      <x:alignment horizontal="center" vertical="top" wrapText="1"/>
    </x:xf>
    <x:xf numFmtId="0" fontId="3" fillId="0" borderId="10" xfId="0" applyNumberFormat="1" applyFont="1" applyFill="1" applyBorder="1" applyAlignment="1">
      <x:alignment horizontal="center" vertical="top" wrapText="1"/>
    </x:xf>
    <x:xf numFmtId="0" fontId="3" fillId="0" borderId="11" xfId="0" applyNumberFormat="1" applyFont="1" applyFill="1" applyBorder="1" applyAlignment="1">
      <x:alignment horizontal="center"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5" fillId="3" borderId="0" xfId="0" applyNumberFormat="1" applyFont="1" applyFill="1" applyBorder="1"/>
    <x:xf numFmtId="0" fontId="5" fillId="3" borderId="1"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1" xfId="0" applyNumberFormat="1" applyFont="1" applyFill="1" applyBorder="1" applyAlignment="1">
      <x:alignment horizontal="center"/>
    </x:xf>
    <x:xf numFmtId="0" fontId="5" fillId="3" borderId="2" xfId="0" applyNumberFormat="1" applyFont="1" applyFill="1" applyBorder="1" applyAlignment="1">
      <x:alignment horizontal="center"/>
    </x:xf>
    <x:xf numFmtId="0" fontId="5" fillId="3" borderId="3" xfId="0" applyNumberFormat="1" applyFont="1" applyFill="1" applyBorder="1" applyAlignment="1">
      <x:alignment horizontal="center"/>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200" fontId="0" fillId="0" borderId="5" xfId="0" applyNumberFormat="1" applyFont="1" applyFill="1" applyBorder="1" applyAlignment="1">
      <x:alignment vertical="center" wrapText="1"/>
    </x:xf>
    <x:xf numFmtId="200" fontId="0" fillId="0" borderId="8" xfId="0" applyNumberFormat="1" applyFont="1" applyFill="1" applyBorder="1" applyAlignment="1">
      <x:alignment vertical="center" wrapText="1"/>
    </x:xf>
    <x:xf numFmtId="200" fontId="0" fillId="0" borderId="11" xfId="0" applyNumberFormat="1" applyFont="1" applyFill="1" applyBorder="1" applyAlignment="1">
      <x:alignment vertical="center" wrapText="1"/>
    </x:xf>
    <x:xf numFmtId="200" fontId="0" fillId="0" borderId="5" xfId="0" applyNumberFormat="1" applyFont="1" applyFill="1" applyBorder="1" applyAlignment="1">
      <x:alignment horizontal="right" vertical="center" wrapText="1"/>
    </x:xf>
    <x:xf numFmtId="200" fontId="0" fillId="0" borderId="8" xfId="0" applyNumberFormat="1" applyFont="1" applyFill="1" applyBorder="1" applyAlignment="1">
      <x:alignment horizontal="right" vertical="center" wrapText="1"/>
    </x:xf>
    <x:xf numFmtId="200" fontId="0" fillId="0" borderId="11"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a47b020c50454a" /><Relationship Type="http://schemas.openxmlformats.org/officeDocument/2006/relationships/theme" Target="/xl/theme/theme1.xml" Id="R5bc6da7b74494cbb" /><Relationship Type="http://schemas.openxmlformats.org/officeDocument/2006/relationships/sharedStrings" Target="/xl/sharedStrings.xml" Id="R0bb4ef22c5cc44fa" /><Relationship Type="http://schemas.openxmlformats.org/officeDocument/2006/relationships/worksheet" Target="/xl/worksheets/sheet1.xml" Id="R06b84f331c0a48e4" /><Relationship Type="http://schemas.openxmlformats.org/officeDocument/2006/relationships/worksheet" Target="/xl/worksheets/sheet2.xml" Id="R8bc94504c0944b99" /></Relationships>
</file>

<file path=xl/tables/table1.xml><?xml version="1.0" encoding="utf-8"?>
<x:table xmlns:x="http://schemas.openxmlformats.org/spreadsheetml/2006/main" id="1" name="生物QuestionTable34" displayName="生物QuestionTable34" ref="A2:S36" headerRowCount="1" totalsRowCount="0" totalsRowShown="0">
  <x:tableColumns count="19">
    <x:tableColumn id="1" name="学科"/>
    <x:tableColumn id="2" name="年份"/>
    <x:tableColumn id="3" name="区域"/>
    <x:tableColumn id="4" name="试卷来源"/>
    <x:tableColumn id="5" name="题号"/>
    <x:tableColumn id="6" name="题型"/>
    <x:tableColumn id="7" name="题干"/>
    <x:tableColumn id="8" name="选项"/>
    <x:tableColumn id="9" name="答案"/>
    <x:tableColumn id="10" name="标准解析"/>
    <x:tableColumn id="11" name="题干图片数"/>
    <x:tableColumn id="12" name="解析图片数"/>
    <x:tableColumn id="13" name="一级知识点"/>
    <x:tableColumn id="14" name="知识点"/>
    <x:tableColumn id="15" name="难度"/>
    <x:tableColumn id="16" name="难度说明"/>
    <x:tableColumn id="17" name="答案解析审核状态"/>
    <x:tableColumn id="18" name="审核状态"/>
    <x:tableColumn id="19" name="来源文件"/>
  </x:tableColumns>
  <x:tableStyleInfo name="TableStyleMedium7" showFirstColumn="0" showLastColumn="0" showRowStripes="1" showColumnStripes="0"/>
</x:table>
</file>

<file path=xl/tables/table2.xml><?xml version="1.0" encoding="utf-8"?>
<x:table xmlns:x="http://schemas.openxmlformats.org/spreadsheetml/2006/main" id="2" name="生物StatsTable34" displayName="生物StatsTable34" ref="A3:C23" headerRowCount="1" totalsRowCount="0" totalsRowShown="0">
  <x:tableColumns count="3">
    <x:tableColumn id="1" name="检查项"/>
    <x:tableColumn id="2" name="结果"/>
    <x:tableColumn id="3" name="说明"/>
  </x:tableColumns>
  <x:tableStyleInfo name="TableStyleMedium7"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ca00cbd682049d9" /></Relationships>
</file>

<file path=xl/worksheets/_rels/sheet2.xml.rels>&#65279;<?xml version="1.0" encoding="utf-8"?><Relationships xmlns="http://schemas.openxmlformats.org/package/2006/relationships"><Relationship Type="http://schemas.openxmlformats.org/officeDocument/2006/relationships/table" Target="/xl/tables/table2.xml" Id="Rfff4b097b3954687" /></Relationships>
</file>

<file path=xl/worksheets/sheet1.xml><?xml version="1.0" encoding="utf-8"?>
<x:worksheet xmlns:x="http://schemas.openxmlformats.org/spreadsheetml/2006/main">
  <x:sheetViews>
    <x:sheetView showGridLines="0" workbookViewId="0"/>
  </x:sheetViews>
  <x:sheetFormatPr defaultRowHeight="15"/>
  <x:cols>
    <x:col min="1" max="1" width="7.75" hidden="0" customWidth="1"/>
    <x:col min="2" max="2" width="7.25" hidden="0" customWidth="1"/>
    <x:col min="3" max="3" width="7.75" hidden="0" customWidth="1"/>
    <x:col min="4" max="4" width="26.8799991607666" hidden="0" customWidth="1"/>
    <x:col min="5" max="5" width="6.25" hidden="0" customWidth="1"/>
    <x:col min="6" max="6" width="10.630000114440918" hidden="0" customWidth="1"/>
    <x:col min="7" max="7" width="45" hidden="0" customWidth="1"/>
    <x:col min="8" max="8" width="37.5" hidden="0" customWidth="1"/>
    <x:col min="9" max="9" width="26.25" hidden="0" customWidth="1"/>
    <x:col min="10" max="10" width="51.25" hidden="0" customWidth="1"/>
    <x:col min="11" max="11" width="9.5" hidden="0" customWidth="1"/>
    <x:col min="12" max="12" width="9.5" hidden="0" customWidth="1"/>
    <x:col min="13" max="13" width="11.25" hidden="0" customWidth="1"/>
    <x:col min="14" max="14" width="31.25" hidden="0" customWidth="1"/>
    <x:col min="15" max="15" width="8.75" hidden="0" customWidth="1"/>
    <x:col min="16" max="16" width="35" hidden="0" customWidth="1"/>
    <x:col min="17" max="17" width="13" hidden="0" customWidth="1"/>
    <x:col min="18" max="18" width="10.25" hidden="0" customWidth="1"/>
    <x:col min="19" max="19" width="37.5" hidden="0" customWidth="1"/>
  </x:cols>
  <x:sheetData>
    <x:row r="1" ht="28" customHeight="1">
      <x:c r="A1" s="4" t="str">
        <x:v>生物母题库检查表（知识点与难度标注版）</x:v>
      </x:c>
      <x:c r="B1" s="4"/>
      <x:c r="C1" s="4"/>
      <x:c r="D1" s="4"/>
      <x:c r="E1" s="4"/>
      <x:c r="F1" s="4"/>
      <x:c r="G1" s="4"/>
      <x:c r="H1" s="4"/>
      <x:c r="I1" s="4"/>
      <x:c r="J1" s="4"/>
      <x:c r="K1" s="4"/>
      <x:c r="L1" s="4"/>
      <x:c r="M1" s="4"/>
      <x:c r="N1" s="4"/>
      <x:c r="O1" s="4"/>
      <x:c r="P1" s="4"/>
      <x:c r="Q1" s="4"/>
      <x:c r="R1" s="4"/>
      <x:c r="S1" s="4"/>
    </x:row>
    <x:row r="2">
      <x:c r="A2" s="16" t="str">
        <x:v>学科</x:v>
      </x:c>
      <x:c r="B2" s="17" t="str">
        <x:v>年份</x:v>
      </x:c>
      <x:c r="C2" s="17" t="str">
        <x:v>区域</x:v>
      </x:c>
      <x:c r="D2" s="17" t="str">
        <x:v>试卷来源</x:v>
      </x:c>
      <x:c r="E2" s="17" t="str">
        <x:v>题号</x:v>
      </x:c>
      <x:c r="F2" s="17" t="str">
        <x:v>题型</x:v>
      </x:c>
      <x:c r="G2" s="17" t="str">
        <x:v>题干</x:v>
      </x:c>
      <x:c r="H2" s="17" t="str">
        <x:v>选项</x:v>
      </x:c>
      <x:c r="I2" s="17" t="str">
        <x:v>答案</x:v>
      </x:c>
      <x:c r="J2" s="17" t="str">
        <x:v>标准解析</x:v>
      </x:c>
      <x:c r="K2" s="17" t="str">
        <x:v>题干图片数</x:v>
      </x:c>
      <x:c r="L2" s="17" t="str">
        <x:v>解析图片数</x:v>
      </x:c>
      <x:c r="M2" s="17" t="str">
        <x:v>一级知识点</x:v>
      </x:c>
      <x:c r="N2" s="17" t="str">
        <x:v>知识点</x:v>
      </x:c>
      <x:c r="O2" s="17" t="str">
        <x:v>难度</x:v>
      </x:c>
      <x:c r="P2" s="17" t="str">
        <x:v>难度说明</x:v>
      </x:c>
      <x:c r="Q2" s="17" t="str">
        <x:v>答案解析审核状态</x:v>
      </x:c>
      <x:c r="R2" s="17" t="str">
        <x:v>审核状态</x:v>
      </x:c>
      <x:c r="S2" s="18" t="str">
        <x:v>来源文件</x:v>
      </x:c>
    </x:row>
    <x:row r="3" ht="72" customHeight="1">
      <x:c r="A3" s="47" t="str">
        <x:v>生物</x:v>
      </x:c>
      <x:c r="B3" s="48" t="n">
        <x:v>2023</x:v>
      </x:c>
      <x:c r="C3" s="48" t="str">
        <x:v>全国</x:v>
      </x:c>
      <x:c r="D3" s="48" t="str">
        <x:v>2023年高考真题——理综（新课标卷）</x:v>
      </x:c>
      <x:c r="E3" s="48" t="str">
        <x:v>1</x:v>
      </x:c>
      <x:c r="F3" s="48" t="str">
        <x:v>单选题</x:v>
      </x:c>
      <x:c r="G3" s="39" t="str">
        <x:v>葡萄糖是人体所需的一种单糖。下列关于人体内葡萄糖的叙述，错误的是（ ）</x:v>
      </x:c>
      <x:c r="H3" s="39" t="str">
        <x:v>A. 葡萄糖是人体血浆的重要组成成分，其含量受激素的调节
B. 葡萄糖是机体能量的重要来源，能经自由扩散通过细胞膜
C. 血液中的葡萄糖进入肝细胞可被氧化分解或转化为肝糖原
D. 血液中的葡萄糖进入人体脂肪组织细胞可转变为甘油三酯</x:v>
      </x:c>
      <x:c r="I3" s="39" t="str">
        <x:v>B</x:v>
      </x:c>
      <x:c r="J3" s="39" t="str">
        <x:v>【分析】葡萄糖是细胞生命活动所需要的主要能源物质，常被形容为“生命的燃料”。
【详解】A、葡萄糖是人体血浆的重要组成成分，血液中的糖称为血糖，血糖含量受胰岛素、胰高血糖素等激素的调节，A正确；
B、葡萄糖是细胞生命活动所需要的主要能源物质，是机体能量的重要来源，葡萄糖通过细胞膜进入红细胞是协助扩散，进入小肠上皮细胞为主动运输，进入组织细胞一般通过协助扩散，B错误；
CD、血糖浓度升高时，在胰岛素作用下，血糖可以进入肝细胞进行氧化分解并合成肝糖原，进入脂肪组织细胞转变为甘油三酯，CD正确。
故选B。</x:v>
      </x:c>
      <x:c r="K3" s="48" t="n">
        <x:v>0</x:v>
      </x:c>
      <x:c r="L3" s="48" t="n">
        <x:v>0</x:v>
      </x:c>
      <x:c r="M3" s="48" t="str">
        <x:v>分子与细胞</x:v>
      </x:c>
      <x:c r="N3" s="39" t="str">
        <x:v>分子与细胞&gt;细胞的物质输入和输出&gt;葡萄糖运输</x:v>
      </x:c>
      <x:c r="O3" s="48" t="str">
        <x:v>easy</x:v>
      </x:c>
      <x:c r="P3" s="39" t="str">
        <x:v>考查葡萄糖运输的直接识记或单步判断，条件明确，运算与推理量较小。</x:v>
      </x:c>
      <x:c r="Q3" s="48" t="str">
        <x:v>待审核</x:v>
      </x:c>
      <x:c r="R3" s="48" t="str">
        <x:v>待审核</x:v>
      </x:c>
      <x:c r="S3" s="40" t="str">
        <x:v>试题：E:\BISHE2026\题库\理综\2023年高考真题——理综（新课标卷）Word版含解析.doc
答案解析：E:\BISHE2026\题库\理综\2023年高考真题——理综（新课标卷）Word版含解析.doc</x:v>
      </x:c>
    </x:row>
    <x:row r="4" ht="72" customHeight="1">
      <x:c r="A4" s="49" t="str">
        <x:v>生物</x:v>
      </x:c>
      <x:c r="B4" s="50" t="n">
        <x:v>2023</x:v>
      </x:c>
      <x:c r="C4" s="50" t="str">
        <x:v>全国</x:v>
      </x:c>
      <x:c r="D4" s="50" t="str">
        <x:v>2023年高考真题——理综（新课标卷）</x:v>
      </x:c>
      <x:c r="E4" s="50" t="str">
        <x:v>2</x:v>
      </x:c>
      <x:c r="F4" s="50" t="str">
        <x:v>单选题</x:v>
      </x:c>
      <x:c r="G4" s="42" t="str">
        <x:v>我国劳动人民在漫长的历史进程中，积累了丰富的生产、生活经验，并在实践中应用。生产和生活中常采取的一些措施如下。
①低温储存，即果实、蔬菜等收获后在低温条件下存放
②春化处理，即对某些作物萌发的种子或幼苗进行适度低温处理
③风干储藏，即小麦、玉米等种子收获后经适当风干处理后储藏
④光周期处理，即在作物生长的某一时期控制每天光照和黑暗的相对时长
⑤合理密植，即栽种作物时做到密度适当，行距、株距合理
⑥间作种植，即同一生长期内，在同一块土地上隔行种植两种高矮不同的作物
关于这些措施，下列说法合理的是（ ）</x:v>
      </x:c>
      <x:c r="H4" s="42" t="str">
        <x:v>A. 措施②④分别反映了低温和昼夜长短与作物开花的关系
B. 措施③⑤的主要目的是降低有机物的消耗
C. 措施②⑤⑥的主要目的是促进作物的光合作用
D. 措施①③④的主要目的是降低作物或种子的呼吸作用强度</x:v>
      </x:c>
      <x:c r="I4" s="42" t="str">
        <x:v>A</x:v>
      </x:c>
      <x:c r="J4" s="42" t="str">
        <x:v>【分析】常考的细胞呼吸原理的应用：1、用透气纱布或“创可贴”包扎伤口：增加通气量，抑制致病菌的无氧呼吸。2、酿酒时：早期通气--促进酵母菌有氧呼吸，利于菌种繁殖，后期密封发酵罐--促进酵母菌无氧呼吸，利于产生酒精。3、做馒头或面包时，加入酵母菌，酵母菌经过发酵可以分解面粉中的葡萄糖，产生二氧化碳，二氧化碳是气体，遇热膨胀而形成小孔，使得馒头或面包暄软多孔。4、食醋、味精制作：向发酵罐中通入无菌空气，促进醋酸杆菌、谷氨酸棒状杆菌进行有氧呼吸。5、土壤松土，促进根细胞呼吸作用，有利于主动运输，为矿质元素吸收供应能量。6、稻田定期排水：促进水稻根细胞有氧呼吸。7、提倡慢跑：促进肌细胞有氧呼吸，防止无氧呼吸产生乳酸使肌肉酸胀。
【详解】A、措施②春化处理是为了促进花芽形成，反映了低温与作物开花的关系，④光周期处理，反映了昼夜长短与作物开花的关系，A正确；
B、措施③风干储藏可以减少自由水，从而减弱细胞呼吸，降低有机物的消耗，⑤合理密植的主要目的是提高能量利用率，促进光合作用，B错误；
C、措施②春化处理是为了促进花芽形成，⑤⑥的主要目的是促进作物的光合作用，C错误；
D、措施①③的主要目的是降低作物或种子的呼吸作用强度，④光周期处理，目的是促进或抑制植物开花，D错误。
故选A。</x:v>
      </x:c>
      <x:c r="K4" s="50" t="n">
        <x:v>0</x:v>
      </x:c>
      <x:c r="L4" s="50" t="n">
        <x:v>0</x:v>
      </x:c>
      <x:c r="M4" s="50" t="str">
        <x:v>稳态与环境</x:v>
      </x:c>
      <x:c r="N4" s="42" t="str">
        <x:v>稳态与环境&gt;植物生理&gt;生产措施与代谢调控</x:v>
      </x:c>
      <x:c r="O4" s="50" t="str">
        <x:v>medium</x:v>
      </x:c>
      <x:c r="P4" s="42" t="str">
        <x:v>需要提取题干或图表信息，并结合生产措施与代谢调控完成两步左右的判断或计算。</x:v>
      </x:c>
      <x:c r="Q4" s="50" t="str">
        <x:v>待审核</x:v>
      </x:c>
      <x:c r="R4" s="50" t="str">
        <x:v>待审核</x:v>
      </x:c>
      <x:c r="S4" s="43" t="str">
        <x:v>试题：E:\BISHE2026\题库\理综\2023年高考真题——理综（新课标卷）Word版含解析.doc
答案解析：E:\BISHE2026\题库\理综\2023年高考真题——理综（新课标卷）Word版含解析.doc</x:v>
      </x:c>
    </x:row>
    <x:row r="5" ht="72" customHeight="1">
      <x:c r="A5" s="49" t="str">
        <x:v>生物</x:v>
      </x:c>
      <x:c r="B5" s="50" t="n">
        <x:v>2023</x:v>
      </x:c>
      <x:c r="C5" s="50" t="str">
        <x:v>全国</x:v>
      </x:c>
      <x:c r="D5" s="50" t="str">
        <x:v>2023年高考真题——理综（新课标卷）</x:v>
      </x:c>
      <x:c r="E5" s="50" t="str">
        <x:v>3</x:v>
      </x:c>
      <x:c r="F5" s="50" t="str">
        <x:v>单选题</x:v>
      </x:c>
      <x:c r="G5" s="42" t="str">
        <x:v>人体内的免疫细胞是体液免疫和细胞免疫过程的重要参与者。下列叙述正确的是（ ）
①免疫细胞表面的受体可识别细菌、病毒等入侵机体的病原体
②树突状细胞能够处理和呈递抗原，淋巴细胞不能呈递抗原
③辅助性T细胞参与体液免疫过程而不参与细胞免疫过程
④体液免疫可产生记忆B细胞，细胞免疫可产生记忆T细胞
⑤某些致病细菌感染人体既可引发体液免疫又可引发细胞免疫</x:v>
      </x:c>
      <x:c r="H5" s="42" t="str">
        <x:v>A. ①②④
B. ①④⑤
C. ②③⑤
D. ③④⑤</x:v>
      </x:c>
      <x:c r="I5" s="42" t="str">
        <x:v>B</x:v>
      </x:c>
      <x:c r="J5" s="42" t="str">
        <x:v>【分析】免疫细胞是执行免疫功能的细胞，它们来自骨髓的造血干细胞，包括各种类型的白细胞，如淋巴细胞、树突状细胞和巨噬细胞等。
【详解】①病原体进入机体后，其表面一些特定的蛋白质等物质，能够与免疫细胞表面的受体结合，从而引发免疫反应，故免疫细胞表面的受体可识别细菌、病毒等入侵机体的病原体，①正确；
②B细胞、树突状细胞和巨噬细胞都能够处理和呈递抗原，B细胞属于淋巴细胞，②错误；
③辅助性T细胞在体液免疫过程中，辅助性T细胞表面的特定分子发生变化与B细胞结合作为激活B细胞的第二信号，并且分裂分化，分泌细胞因子促进B细胞的分裂、分化过程；在细胞免疫过程中，辅助性T细胞分泌细胞因子促进细胞毒性T细胞增殖分化。因此辅助性T细胞既参与体液免疫又参与细胞免疫过程，③错误；
④体液免疫过程中，B细胞活化后开始增殖分化，一小部分分化为记忆B细胞；细胞免疫过程中，细胞毒性T细胞分裂并分化，形成新的细胞毒性T细胞和记忆T细胞，④正确；
⑤某些致病细菌是寄生在宿主细胞内的，感染人体时既可引发体液免疫又可引发细胞免疫，⑤正确。
综上所述，①④⑤正确。
故选B。</x:v>
      </x:c>
      <x:c r="K5" s="50" t="n">
        <x:v>0</x:v>
      </x:c>
      <x:c r="L5" s="50" t="n">
        <x:v>0</x:v>
      </x:c>
      <x:c r="M5" s="50" t="str">
        <x:v>稳态与环境</x:v>
      </x:c>
      <x:c r="N5" s="42" t="str">
        <x:v>稳态与环境&gt;免疫调节&gt;体液免疫与细胞免疫</x:v>
      </x:c>
      <x:c r="O5" s="50" t="str">
        <x:v>medium</x:v>
      </x:c>
      <x:c r="P5" s="42" t="str">
        <x:v>需要提取题干或图表信息，并结合体液免疫与细胞免疫完成两步左右的判断或计算。</x:v>
      </x:c>
      <x:c r="Q5" s="50" t="str">
        <x:v>待审核</x:v>
      </x:c>
      <x:c r="R5" s="50" t="str">
        <x:v>待审核</x:v>
      </x:c>
      <x:c r="S5" s="43" t="str">
        <x:v>试题：E:\BISHE2026\题库\理综\2023年高考真题——理综（新课标卷）Word版含解析.doc
答案解析：E:\BISHE2026\题库\理综\2023年高考真题——理综（新课标卷）Word版含解析.doc</x:v>
      </x:c>
    </x:row>
    <x:row r="6" ht="72" customHeight="1">
      <x:c r="A6" s="49" t="str">
        <x:v>生物</x:v>
      </x:c>
      <x:c r="B6" s="50" t="n">
        <x:v>2023</x:v>
      </x:c>
      <x:c r="C6" s="50" t="str">
        <x:v>全国</x:v>
      </x:c>
      <x:c r="D6" s="50" t="str">
        <x:v>2023年高考真题——理综（新课标卷）</x:v>
      </x:c>
      <x:c r="E6" s="50" t="str">
        <x:v>4</x:v>
      </x:c>
      <x:c r="F6" s="50" t="str">
        <x:v>单选题</x:v>
      </x:c>
      <x:c r="G6" s="42" t="str">
        <x:v>为了研究和保护我国东北地区某自然保护区内的野生哺乳动物资源，研究人员采用红外触发相机自动拍摄技术获得了该保护区内某些野生哺乳动物资源的相应数据，为生态学研究提供了相关依据。下列叙述错误的是（ ）</x:v>
      </x:c>
      <x:c r="H6" s="42" t="str">
        <x:v>A. 通过对数据的分析和处理，可以了解保护区内大型野生哺乳动物的物种丰富度
B. 与标记重捕法相比，采用该技术进行调查对野生哺乳动物的生活干扰相对较小
C. 采用红外触发相机拍摄技术可调查生活在该自然保护区内东北豹的种群密度
D. 该技术能调查保护区内东北豹种群中成年个体数量，不能调查幼年个体数量</x:v>
      </x:c>
      <x:c r="I6" s="42" t="str">
        <x:v>D</x:v>
      </x:c>
      <x:c r="J6" s="42" t="str">
        <x:v>【分析】1、样方法--估算种群密度最常用的方法之一（1）概念：在被调查种群的分布范围内，随机选取若干个样方，通过计数每个样方内的个体数，求得每个样方的种群密度，以所有样方法种群密度的平均值作为该种群的种群密度估计值。（2）适用范围：植物种群密度，昆虫卵的密度，蚜虫、跳蝻的密度等。
2、标记重捕法（1）前提条件：标志个体与未标志个体重捕的概率相等。调查期内没有新的出生和死亡，无迁入和迁出。（2）适用范围：活动能力强和范围大的动物，如哺乳类、鸟类、爬行类、两栖类、鱼类和昆虫等动物。
【详解】A、红外触发相机监测野生动物方法是一种新型调查手段，特别适用于对活动隐秘的大中型、珍稀兽类、鸟类的记录。通过对数据的分析和处理，可以了解保护区内大型野生哺乳动物的物种数目的多少，即物种丰富度，A正确；
B、标记重捕法需要捕捉动物并标记，后再次捕捉，故与标记重捕法相比，采用该技术进行调查对野生哺乳动物的生活干扰相对较小， B正确；
C、采用红外触发相机拍摄技术可得保护区内东北豹种群数量和分布情况，即可调查生活在该自然保护区内东北豹的种群密度 ，C正确；
D、该技术能调查保护区内东北豹种群中各年龄段的个体数量，D错误。
故选D。</x:v>
      </x:c>
      <x:c r="K6" s="50" t="n">
        <x:v>0</x:v>
      </x:c>
      <x:c r="L6" s="50" t="n">
        <x:v>0</x:v>
      </x:c>
      <x:c r="M6" s="50" t="str">
        <x:v>稳态与环境</x:v>
      </x:c>
      <x:c r="N6" s="42" t="str">
        <x:v>稳态与环境&gt;种群与群落&gt;动物资源调查</x:v>
      </x:c>
      <x:c r="O6" s="50" t="str">
        <x:v>easy</x:v>
      </x:c>
      <x:c r="P6" s="42" t="str">
        <x:v>考查动物资源调查的直接识记或单步判断，条件明确，运算与推理量较小。</x:v>
      </x:c>
      <x:c r="Q6" s="50" t="str">
        <x:v>待审核</x:v>
      </x:c>
      <x:c r="R6" s="50" t="str">
        <x:v>待审核</x:v>
      </x:c>
      <x:c r="S6" s="43" t="str">
        <x:v>试题：E:\BISHE2026\题库\理综\2023年高考真题——理综（新课标卷）Word版含解析.doc
答案解析：E:\BISHE2026\题库\理综\2023年高考真题——理综（新课标卷）Word版含解析.doc</x:v>
      </x:c>
    </x:row>
    <x:row r="7" ht="72" customHeight="1">
      <x:c r="A7" s="49" t="str">
        <x:v>生物</x:v>
      </x:c>
      <x:c r="B7" s="50" t="n">
        <x:v>2023</x:v>
      </x:c>
      <x:c r="C7" s="50" t="str">
        <x:v>全国</x:v>
      </x:c>
      <x:c r="D7" s="50" t="str">
        <x:v>2023年高考真题——理综（新课标卷）</x:v>
      </x:c>
      <x:c r="E7" s="50" t="str">
        <x:v>5</x:v>
      </x:c>
      <x:c r="F7" s="50" t="str">
        <x:v>单选题</x:v>
      </x:c>
      <x:c r="G7" s="42" t="str">
        <x:v>某研究小组从野生型高秆（显性）玉米中获得了2个矮秆突变体，为了研究这2个突变体的基因型，该小组让这2个矮秆突变体（亲本）杂交得F₁，F₁自交得F₂，发现F₂中表型及其比例是高秆:矮秆:极矮秆=9:6:1。若用A、B表示显性基因，则下列相关推测错误的是（ ）</x:v>
      </x:c>
      <x:c r="H7" s="42" t="str">
        <x:v>A. 亲本的基因型为aaBB和AAbb，F₁的基因型为AaBb
B. F₂矮秆的基因型有aaBB、AAbb、aaBb、Aabb，共4种
C. 基因型是AABB的个体为高秆，基因型是aabb的个体为极矮秆
D. F₂矮秆中纯合子所占比例为1/2，F₂高秆中纯合子所占比例为1/16</x:v>
      </x:c>
      <x:c r="I7" s="42" t="str">
        <x:v>D</x:v>
      </x:c>
      <x:c r="J7" s="42" t="str">
        <x:v>【分析】由题干信息可知，2个矮秆突变体（亲本）杂交得F₁，F₁自交得F₂，发现F₂中表型及其比例是高秆:矮秆:极矮秆=9:6:1，符合9:3:3:1的变式，因此控制两个矮秆突变体的基因遵循基因的自由组合定律。
【详解】A、F₂中表型及其比例是高秆:矮秆:极矮秆=9:6:1，符合:9:3:3:1的变式，因此因此控制两个矮秆突变体的基因遵循基因的自由组合定律，即高秆基因型为A_B_，矮秆基因型为A_bb、aaB_，极矮秆基因型为aabb，因此可推知亲本的基因型为aaBB和AAbb，F₁的基因型为AaBb，A正确；
B、矮秆基因型为A_bb、aaB_，因此F₂矮秆的基因型有aaBB、AAbb、aaBb、Aabb，共4种，B正确；
C、由F₂中表型及其比例可知基因型是AABB的个体为高秆，基因型是aabb的个体为极矮秆，C正确；
D、F₂矮秆基因型为A_bb、aaB_共6份，纯合子基因型为aaBB、AAbb共2份，因此矮秆中纯合子所占比例为1/3，F₂高秆基因型为A_B_共9份，纯合子为AABB共1份，因此高秆中纯合子所占比例为1/9，D错误。
故选D。</x:v>
      </x:c>
      <x:c r="K7" s="50" t="n">
        <x:v>0</x:v>
      </x:c>
      <x:c r="L7" s="50" t="n">
        <x:v>0</x:v>
      </x:c>
      <x:c r="M7" s="50" t="str">
        <x:v>遗传与进化</x:v>
      </x:c>
      <x:c r="N7" s="42" t="str">
        <x:v>遗传与进化&gt;遗传规律&gt;基因互作</x:v>
      </x:c>
      <x:c r="O7" s="50" t="str">
        <x:v>hard</x:v>
      </x:c>
      <x:c r="P7" s="42" t="str">
        <x:v>需要综合多个条件，围绕基因互作进行多环节推理、定量计算或实验分析。</x:v>
      </x:c>
      <x:c r="Q7" s="50" t="str">
        <x:v>待审核</x:v>
      </x:c>
      <x:c r="R7" s="50" t="str">
        <x:v>待审核</x:v>
      </x:c>
      <x:c r="S7" s="43" t="str">
        <x:v>试题：E:\BISHE2026\题库\理综\2023年高考真题——理综（新课标卷）Word版含解析.doc
答案解析：E:\BISHE2026\题库\理综\2023年高考真题——理综（新课标卷）Word版含解析.doc</x:v>
      </x:c>
    </x:row>
    <x:row r="8" ht="72" customHeight="1">
      <x:c r="A8" s="49" t="str">
        <x:v>生物</x:v>
      </x:c>
      <x:c r="B8" s="50" t="n">
        <x:v>2023</x:v>
      </x:c>
      <x:c r="C8" s="50" t="str">
        <x:v>全国</x:v>
      </x:c>
      <x:c r="D8" s="50" t="str">
        <x:v>2023年高考真题——理综（新课标卷）</x:v>
      </x:c>
      <x:c r="E8" s="50" t="str">
        <x:v>6</x:v>
      </x:c>
      <x:c r="F8" s="50" t="str">
        <x:v>单选题</x:v>
      </x:c>
      <x:c r="G8" s="42" t="str">
        <x:v>某同学拟用限制酶（酶1、酶2、酶3和酶4）、DNA连接酶为工具，将目的基因（两端含相应限制酶的识别序列和切割位点）和质粒进行切割、连接，以构建重组表达载体。限制酶的切割位点如图所示。
〔图片对象 I004〕〔图片对象 I005〕
下列重组表达载体构建方案合理且效率最高的是（ ）</x:v>
      </x:c>
      <x:c r="H8" s="42" t="str">
        <x:v>A. 质粒和目的基因都用酶3切割，用E. coli DNA连接酶连接
B. 质粒用酶3切割、目的基因用酶1切割，用T4 DNA连接酶连接
C. 质粒和目的基因都用酶1和酶2切割，用T4 DNA连接酶连接
D. 质粒和目的基因都用酶2和酶4切割，用E. coli DNA连接酶连接</x:v>
      </x:c>
      <x:c r="I8" s="42" t="str">
        <x:v>C</x:v>
      </x:c>
      <x:c r="J8" s="42" t="str">
        <x:v>【分析】DNA连接酶：
（1）根据酶的来源不同分为两类：E.coliDNA连接酶、T4DNA连接酶。这二者都能连接黏性末端，此外T4DNA连接酶还可以连接平末端，但连接平末端时的效率比较低。
（2）DNA连接酶连接的是两个核苷酸之间的磷酸二酯键。
【详解】A、酶3切割后得到的是平末端，应该用T4 DNA连接酶连接，A错误；
B、质粒用酶3切割后得到平末端，目的基因用酶1切割后得到的是黏性末端，二者不能连接，B错误；
C、质粒和目的基因都用酶1和酶2切割后得到黏性末端，用T4 DNA连接酶连接后，还能保证目的基因在质粒上的连接方向，此重组表达载体的构建方案最合理且高效，C正确；
D、若用酶2和酶4切割质粒和目的基因，会破坏质粒上的抗生素抗性基因，连接形成的基因表达载体缺少标记基因，无法进行后续的筛选，D错误。
故选C。</x:v>
      </x:c>
      <x:c r="K8" s="50" t="n">
        <x:v>2</x:v>
      </x:c>
      <x:c r="L8" s="50" t="n">
        <x:v>0</x:v>
      </x:c>
      <x:c r="M8" s="50" t="str">
        <x:v>生物技术实践</x:v>
      </x:c>
      <x:c r="N8" s="42" t="str">
        <x:v>生物技术实践&gt;基因工程&gt;限制酶与表达载体</x:v>
      </x:c>
      <x:c r="O8" s="50" t="str">
        <x:v>hard</x:v>
      </x:c>
      <x:c r="P8" s="42" t="str">
        <x:v>需要综合多个条件，围绕限制酶与表达载体进行多环节推理、定量计算或实验分析。</x:v>
      </x:c>
      <x:c r="Q8" s="50" t="str">
        <x:v>待审核</x:v>
      </x:c>
      <x:c r="R8" s="50" t="str">
        <x:v>待审核</x:v>
      </x:c>
      <x:c r="S8" s="43" t="str">
        <x:v>试题：E:\BISHE2026\题库\理综\2023年高考真题——理综（新课标卷）Word版含解析.doc
答案解析：E:\BISHE2026\题库\理综\2023年高考真题——理综（新课标卷）Word版含解析.doc</x:v>
      </x:c>
    </x:row>
    <x:row r="9" ht="72" customHeight="1">
      <x:c r="A9" s="49" t="str">
        <x:v>生物</x:v>
      </x:c>
      <x:c r="B9" s="50" t="n">
        <x:v>2023</x:v>
      </x:c>
      <x:c r="C9" s="50" t="str">
        <x:v>全国</x:v>
      </x:c>
      <x:c r="D9" s="50" t="str">
        <x:v>2023年高考真题——理综（新课标卷）</x:v>
      </x:c>
      <x:c r="E9" s="50" t="str">
        <x:v>31</x:v>
      </x:c>
      <x:c r="F9" s="50" t="str">
        <x:v>解答题</x:v>
      </x:c>
      <x:c r="G9" s="42" t="str">
        <x:v>植物的生长发育受多种因素调控。回答下列问题。
（1）细胞增殖是植物生长发育的基础。细胞增殖具有周期性，细胞周期中的分裂间期为分裂期进行物质准备，物质准备过程主要包括___________。
（2）植物细胞分裂是由生长素和细胞分裂素协同作用完成的。在促进细胞分裂方面，生长素的主要作用是__________，细胞分裂素的主要作用是__________。
（3）给黑暗中生长的幼苗照光后幼苗的形态出现明显变化，在这一过程中感受光信号的受体有__________（答出1点即可），除了光，调节植物生长发育的环境因素还有__________（答出2点即可）。</x:v>
      </x:c>
      <x:c r="H9" s="42" t="str"/>
      <x:c r="I9" s="42" t="str">
        <x:v>（1）DNA分子复制和有关蛋白质的合成
（2） ①. 促进细胞核的分裂 ②. 促进细胞质的分裂
（3） ①. 光敏色素 ②. 温度、重力</x:v>
      </x:c>
      <x:c r="J9" s="42" t="str">
        <x:v>【分析】光敏色素是一类蛋白质（色素-蛋白复合体）分布在植物的各个部位，其中在分生组织的细胞内比较丰富。受到光照射后→光敏色素结构会发生变化→这一变化的信息传导到细胞核内→基因选择性表达→表现出生物学效应。
【小问1详解】
细胞周期中的分裂间期为分裂期进行物质准备，物质准备过程主要包括DNA分子复制和有关蛋白质的合成。
【小问2详解】
在促进细胞分裂方面，生长素的主要作用是促进细胞核的分裂，而细胞分裂素主要表现在促进细胞质的分裂，二者协调促进细胞分裂的完成，表现出协同作用。
【小问3详解】
植物能对光作出反应，是因为其具有能接受光信号的分子，给黑暗中生长的幼苗照光后幼苗的形态出现明显变化，在这一过程中感受光信号的受体有光敏色素，光敏色素接受光照后，结构发生改变，该信息传导到细胞核，进而调控基因的表达，表现出生物学效应；除了光，温度（如植物代谢会随温度不同而有旺盛和缓慢之分）、重力等环境因素也会参与调节植物的生长发育。</x:v>
      </x:c>
      <x:c r="K9" s="50" t="n">
        <x:v>0</x:v>
      </x:c>
      <x:c r="L9" s="50" t="n">
        <x:v>0</x:v>
      </x:c>
      <x:c r="M9" s="50" t="str">
        <x:v>分子与细胞</x:v>
      </x:c>
      <x:c r="N9" s="42" t="str">
        <x:v>分子与细胞&gt;细胞增殖&gt;细胞周期；稳态与环境&gt;植物生命活动调节&gt;植物激素</x:v>
      </x:c>
      <x:c r="O9" s="50" t="str">
        <x:v>medium</x:v>
      </x:c>
      <x:c r="P9" s="42" t="str">
        <x:v>需要提取题干或图表信息，并结合细胞周期完成两步左右的判断或计算。</x:v>
      </x:c>
      <x:c r="Q9" s="50" t="str">
        <x:v>待审核</x:v>
      </x:c>
      <x:c r="R9" s="50" t="str">
        <x:v>待审核</x:v>
      </x:c>
      <x:c r="S9" s="43" t="str">
        <x:v>试题：E:\BISHE2026\题库\理综\2023年高考真题——理综（新课标卷）Word版含解析.doc
答案解析：E:\BISHE2026\题库\理综\2023年高考真题——理综（新课标卷）Word版含解析.doc</x:v>
      </x:c>
    </x:row>
    <x:row r="10" ht="72" customHeight="1">
      <x:c r="A10" s="49" t="str">
        <x:v>生物</x:v>
      </x:c>
      <x:c r="B10" s="50" t="n">
        <x:v>2023</x:v>
      </x:c>
      <x:c r="C10" s="50" t="str">
        <x:v>全国</x:v>
      </x:c>
      <x:c r="D10" s="50" t="str">
        <x:v>2023年高考真题——理综（新课标卷）</x:v>
      </x:c>
      <x:c r="E10" s="50" t="str">
        <x:v>32</x:v>
      </x:c>
      <x:c r="F10" s="50" t="str">
        <x:v>解答题</x:v>
      </x:c>
      <x:c r="G10" s="42" t="str">
        <x:v>人在运动时会发生一系列生理变化，机体可通过神经调节和体液调节维持内环境的稳态。回答下列问题。
（1）运动时，某种自主神经的活动占优势使心跳加快，这种自主神经是__________。
（2）剧烈运动时，机体耗氧量增加、葡萄糖氧化分解产生大量CO₂，CO₂进入血液使呼吸运动加快。CO₂使呼吸运动加快的原因是__________。
（3）运动时葡萄糖消耗加快，胰高血糖素等激素分泌增加，以维持血糖相对稳定。胰高血糖素在升高血糖浓度方面所起的作用是__________。
（4）运动中出汗失水导致细胞外液渗透压升高，垂体释放的某种激素增加，促进肾小管、集合管对水的重吸收，该激素是__________。若大量失水使细胞外液量减少以及血钠含量降低时，可使醛固酮分泌增加。醛固酮的主要生理功能是__________。</x:v>
      </x:c>
      <x:c r="H10" s="42" t="str"/>
      <x:c r="I10" s="42" t="str">
        <x:v>（1）交感神经
（2）人体剧烈运动时，呼吸作用增强，耗氧量增大，同时产生的CO₂增多，刺激呼吸中枢，加快呼吸运动的频率
（3）促进肝糖原分解成葡萄糖，促进非糖物质转变成糖
（4） ①. 抗利尿激素 ②. 促进肾小管和集合管对Na＋的重吸收，维持血钠含量的平衡</x:v>
      </x:c>
      <x:c r="J10" s="42" t="str">
        <x:v>【分析】1、交感神经和副交感神经是调节人体内脏功能的神经装置，所以也叫内脏神经系统，因为其功能不完全受人类的意识支配，所以又叫自主神经系统。
2、剧烈运动时，人体的呼吸频率会加快，呼吸作用增强，血液中二氧化碳增多，刺激呼吸运动中枢，加快呼吸运动频率。
【小问1详解】
自主神经包括交感神经和副交感神经，运动时，交感神经的活动占优势，表现为心跳加快，支气管扩张，但胃肠的蠕动和消化腺的分泌活动减弱；
【小问2详解】
人体的呼吸中枢位于脑干，剧烈运动时，血液中二氧化碳增多，刺激感受器产生兴奋，传至呼吸中枢，导致呼吸加深加快，肺的通气量增加，排出体内过多的二氧化碳。
【小问3详解】
胰高血糖素是机体中能够升高血糖的激素之一，该激素主要作用于肝，促进肝糖原分解成葡萄糖进入血液，促进非糖物质转变成糖，使血糖回升到正常水平。
【小问4详解】
细胞外液渗透压升高时，抗利尿激素分泌增多，可以促进肾小管、集合管对水的重吸收，使渗透压恢复正常；醛固酮是由肾上腺皮质分泌的一种激素，其主要生理功能是促进肾小管和集合管对Na＋的重吸收，维持血钠含量的平衡。</x:v>
      </x:c>
      <x:c r="K10" s="50" t="n">
        <x:v>0</x:v>
      </x:c>
      <x:c r="L10" s="50" t="n">
        <x:v>0</x:v>
      </x:c>
      <x:c r="M10" s="50" t="str">
        <x:v>稳态与环境</x:v>
      </x:c>
      <x:c r="N10" s="42" t="str">
        <x:v>稳态与环境&gt;动物生命活动调节&gt;神经—体液调节</x:v>
      </x:c>
      <x:c r="O10" s="50" t="str">
        <x:v>hard</x:v>
      </x:c>
      <x:c r="P10" s="42" t="str">
        <x:v>需要综合多个条件，围绕神经—体液调节进行多环节推理、定量计算或实验分析。</x:v>
      </x:c>
      <x:c r="Q10" s="50" t="str">
        <x:v>待审核</x:v>
      </x:c>
      <x:c r="R10" s="50" t="str">
        <x:v>待审核</x:v>
      </x:c>
      <x:c r="S10" s="43" t="str">
        <x:v>试题：E:\BISHE2026\题库\理综\2023年高考真题——理综（新课标卷）Word版含解析.doc
答案解析：E:\BISHE2026\题库\理综\2023年高考真题——理综（新课标卷）Word版含解析.doc</x:v>
      </x:c>
    </x:row>
    <x:row r="11" ht="72" customHeight="1">
      <x:c r="A11" s="49" t="str">
        <x:v>生物</x:v>
      </x:c>
      <x:c r="B11" s="50" t="n">
        <x:v>2023</x:v>
      </x:c>
      <x:c r="C11" s="50" t="str">
        <x:v>全国</x:v>
      </x:c>
      <x:c r="D11" s="50" t="str">
        <x:v>2023年高考真题——理综（新课标卷）</x:v>
      </x:c>
      <x:c r="E11" s="50" t="str">
        <x:v>33</x:v>
      </x:c>
      <x:c r="F11" s="50" t="str">
        <x:v>解答题</x:v>
      </x:c>
      <x:c r="G11" s="42" t="str">
        <x:v>现发现一种水鸟主要在某湖区的浅水和泥滩中栖息，以湖区的某些植物为其主要的食物来源。回答下列问题。
（1）湖区的植物、水鸟、细菌等生物成分和无机环境构成了一个生态系统。能量流经食物链上该种水鸟的示意图如下，①、②、③表示生物的生命活动过程，其中①是__________；②是__________；③是__________。
〔图片对象 I355〕
（2）要研究湖区该种水鸟的生态位，需要研究的方面有__________（答出3点即可）。该生态系统中水鸟等各种生物都占据着相对稳定的生态位，其意义是__________。
（3）近年来，一些水鸟离开湖区前往周边稻田，取食稻田中收割后散落的稻谷，羽毛艳丽的水鸟引来一些游客观赏。从保护鸟类的角度来看，游客在观赏水鸟时应注意的事项是__________（答出1点即可）。</x:v>
      </x:c>
      <x:c r="H11" s="42" t="str"/>
      <x:c r="I11" s="42" t="str">
        <x:v>（1） ①. 水鸟的同化作用 ②. 水鸟呼吸作用（细胞呼吸） ③. 分解者的分解作用
（2） ①. 栖息地、食物、天敌以及与其它物种的关系等 ②. 有利于不同生物之间充分利用环境资源
（3）不破坏水鸟的生存环境；远距离观赏</x:v>
      </x:c>
      <x:c r="J11" s="42" t="str">
        <x:v>【分析】能量流动的相关计算为：摄入的能量有两个去向：同化量+粪便量（粪便量属于上一个营养级流向分解者的能量）。同化的能量有两个去向：呼吸作用散失的能量+用于生长发育和繁殖的能量。用于生长发育和繁殖的能量有两个去向：传递给下一个营养级+流向分解者。能量传递效率=传递给下一营养级的能量÷该营养级所同化的能量。
【小问1详解】
据图可知，①是水鸟摄入后减去粪便剩余的能量，故表示水鸟的同化量；②是①（水鸟的同化量）减去用于生长发育繁殖的能量，表示水鸟通过呼吸作用以热能散失的能量；③是流向分解者的能量，包括水鸟遗体残骸中的能量和上一营养级的同化量。
【小问2详解】
一个物种在群落中的地位或作用，包括所处的空间位置，占用资源的情况，以及与其他物种的关系等，称为这个物种的生态位，水鸟属于动物，研究其生态位，需要研究的方面有：它的栖息地、食物、天敌以及与其它物种的关系等；群落中每种生物都占据着相对稳定的生态位，这有利于不同生物之间充分利用环境资源。
【小问3详解】
鸟类的生存与环境密切相关，从保护鸟类的角度来看，游客在观赏水鸟时应注意的事项有：不破坏水鸟的生存环境（不丢弃废弃物、不污染水源）；远距离观赏而避免对其造成惊吓等。</x:v>
      </x:c>
      <x:c r="K11" s="50" t="n">
        <x:v>1</x:v>
      </x:c>
      <x:c r="L11" s="50" t="n">
        <x:v>0</x:v>
      </x:c>
      <x:c r="M11" s="50" t="str">
        <x:v>稳态与环境</x:v>
      </x:c>
      <x:c r="N11" s="42" t="str">
        <x:v>稳态与环境&gt;生态系统&gt;能量流动与生态位</x:v>
      </x:c>
      <x:c r="O11" s="50" t="str">
        <x:v>medium</x:v>
      </x:c>
      <x:c r="P11" s="42" t="str">
        <x:v>需要提取题干或图表信息，并结合能量流动与生态位完成两步左右的判断或计算。</x:v>
      </x:c>
      <x:c r="Q11" s="50" t="str">
        <x:v>待审核</x:v>
      </x:c>
      <x:c r="R11" s="50" t="str">
        <x:v>待审核</x:v>
      </x:c>
      <x:c r="S11" s="43" t="str">
        <x:v>试题：E:\BISHE2026\题库\理综\2023年高考真题——理综（新课标卷）Word版含解析.doc
答案解析：E:\BISHE2026\题库\理综\2023年高考真题——理综（新课标卷）Word版含解析.doc</x:v>
      </x:c>
    </x:row>
    <x:row r="12" ht="72" customHeight="1">
      <x:c r="A12" s="49" t="str">
        <x:v>生物</x:v>
      </x:c>
      <x:c r="B12" s="50" t="n">
        <x:v>2023</x:v>
      </x:c>
      <x:c r="C12" s="50" t="str">
        <x:v>全国</x:v>
      </x:c>
      <x:c r="D12" s="50" t="str">
        <x:v>2023年高考真题——理综（新课标卷）</x:v>
      </x:c>
      <x:c r="E12" s="50" t="str">
        <x:v>34</x:v>
      </x:c>
      <x:c r="F12" s="50" t="str">
        <x:v>解答题</x:v>
      </x:c>
      <x:c r="G12" s="42" t="str">
        <x:v>果蝇常用作遗传学研究的实验材料。果蝇翅型的长翅和截翅是一对相对性状，眼色的红眼和紫眼是另一对相对性状，翅型由等位基因T/t控制，眼色由等位基因R/r控制。某小组以长翅红眼、截翅紫眼果蝇为亲本进行正反交实验，杂交子代的表型及其比例分别为，长翅红眼雌蝇：长翅红眼雄蝇=1：1（杂交①的实验结果）；长翅红眼雌蝇：截翅红眼雄蝇=1：1（杂交②的实验结果）。回答下列问题。
（1）根据杂交结果可以判断，翅型的显性性状是__________，判断的依据是__________。
（2）根据杂交结果可以判断，属于伴性遗传的性状是__________，判断的依据是__________。
杂交①亲本的基因型是__________，杂交②亲本的基因型是__________。
（3）若杂交①子代中的长翅红眼雌蝇与杂交②子代中的截翅红眼雄蝇杂交，则子代翅型和眼色的表型及其比例为__________。</x:v>
      </x:c>
      <x:c r="H12" s="42" t="str"/>
      <x:c r="I12" s="42" t="str">
        <x:v>（1） ①. 长翅 ②. 亲代是长翅和截翅果蝇，杂交①子代全是长翅
（2） ①. 翅型 ②. 翅型的正反交实验结果不同 ③. RRXTXT、rrXtY ④. rrXtXt、RRXTY
（3）红眼长翅∶红眼截翅∶紫眼长翅∶紫眼截翅=3∶3∶1∶1</x:v>
      </x:c>
      <x:c r="J12" s="42" t="str">
        <x:v>【分析】基因分离定律的实质:在杂合子的细胞中，位于一对同源染色体上的等位基因，具有一定的独立性;生物体在进行减数分裂形成配子时，等位基因会随着同源染色体的分开而分离，分别进入到两个配子中，独立地随配子遗传给后代。
【小问1详解】
具有相对性状的亲本杂交，子一代所表现出的性状是显性性状，分析题意可知，仅考虑翅型，亲代是长翅和截翅果蝇，杂交①子代全是长翅，说明长翅对截翅是显性性状。
【小问2详解】
分析题意，实验①和实验②是正反交实验，两组实验中翅型在子代雌雄果蝇中表现不同（正反交实验结果不同），说明该性状位于X染色体上，属于伴性遗传；根据实验结果可知，翅型的相关基因位于X染色体，且长翅是显性性状，而眼色的正反交结果无差异，说明基因位于常染色体，且红眼为显性性状，杂交①长翅红眼、截翅紫眼果蝇的子代长翅红眼雌蝇（R-XTX⁻）：长翅红眼雄蝇（R-XTY）=1：1，其中XT来自母本，说明亲本中雌性是长翅红眼RRXTXT，而杂交②长翅红眼、截翅紫眼果蝇的子代长翅红眼雌蝇（R-XTX⁻）：截翅红眼雄蝇（R-XtY）=1：1，其中的Xt只能来自亲代母本，说明亲本中雌性是截翅紫眼，基因型是rrXtXt，故可推知杂交①亲本的基因型是RRXTXT、rrXtY，杂交②的亲本基因型是rrXtXt、RRXTY。
【小问3详解】
若杂交①子代中的长翅红眼雌蝇（RrXTXt）与杂交②子代中的截翅红眼雄蝇（RrXtY）杂交，两对基因逐对考虑，则Rr×Rr→R-∶rr=3∶1，即红眼∶紫眼=3∶1，XTXt×XtY→XTXt：XtXt：XTY∶XtY=1∶1∶1∶1，即表现为长翅∶截翅=1∶1，则子代中红眼长翅∶红眼截翅∶紫眼长翅∶紫眼截翅=3∶3∶1∶1。</x:v>
      </x:c>
      <x:c r="K12" s="50" t="n">
        <x:v>0</x:v>
      </x:c>
      <x:c r="L12" s="50" t="n">
        <x:v>0</x:v>
      </x:c>
      <x:c r="M12" s="50" t="str">
        <x:v>遗传与进化</x:v>
      </x:c>
      <x:c r="N12" s="42" t="str">
        <x:v>遗传与进化&gt;遗传规律&gt;伴性遗传与自由组合</x:v>
      </x:c>
      <x:c r="O12" s="50" t="str">
        <x:v>hard</x:v>
      </x:c>
      <x:c r="P12" s="42" t="str">
        <x:v>需要综合多个条件，围绕伴性遗传与自由组合进行多环节推理、定量计算或实验分析。</x:v>
      </x:c>
      <x:c r="Q12" s="50" t="str">
        <x:v>待审核</x:v>
      </x:c>
      <x:c r="R12" s="50" t="str">
        <x:v>待审核</x:v>
      </x:c>
      <x:c r="S12" s="43" t="str">
        <x:v>试题：E:\BISHE2026\题库\理综\2023年高考真题——理综（新课标卷）Word版含解析.doc
答案解析：E:\BISHE2026\题库\理综\2023年高考真题——理综（新课标卷）Word版含解析.doc</x:v>
      </x:c>
    </x:row>
    <x:row r="13" ht="72" customHeight="1">
      <x:c r="A13" s="49" t="str">
        <x:v>生物</x:v>
      </x:c>
      <x:c r="B13" s="50" t="n">
        <x:v>2023</x:v>
      </x:c>
      <x:c r="C13" s="50" t="str">
        <x:v>全国</x:v>
      </x:c>
      <x:c r="D13" s="50" t="str">
        <x:v>2023年高考真题——理综（新课标卷）</x:v>
      </x:c>
      <x:c r="E13" s="50" t="str">
        <x:v>35</x:v>
      </x:c>
      <x:c r="F13" s="50" t="str">
        <x:v>解答题</x:v>
      </x:c>
      <x:c r="G13" s="42" t="str">
        <x:v>根瘤菌与豆科植物之间是互利共生关系，根瘤菌侵入豆科植物根内可引起根瘤的形成，根瘤中的根瘤菌具有固氮能力。为了寻找抗逆性强的根瘤菌，某研究小组做了如下实验：从盐碱地生长的野生草本豆科植物中分离根瘤菌；选取该植物的茎尖为材料，通过组织培养获得试管苗（生根试管苗）；在实验室中探究试管苗根瘤中所含根瘤菌的固氮能力。回答下列问题。
（1）从豆科植物的根瘤中分离根瘤菌进行培养，可以获得纯培养物，此实验中的纯培养物是__________。
（2）取豆科植物的茎尖作为外植体，通过植物组织培养可以获得豆科植物的试管苗。外植体经诱导形成试管苗的流程是：外植体〔公式对象 F358〕愈伤组织〔公式对象 F359〕试管苗。其中①表示的过程是__________，②表示的过程是__________。由外植体最终获得完整的植株，这一过程说明植物细胞具有全能性。细胞的全能性是指__________。
（3）研究小组用上述获得的纯培养物和试管苗为材料，研究接种到试管苗上的根瘤菌是否具有固氮能力，其做法是将生长在培养液中的试管苗分成甲、乙两组，甲组中滴加根瘤菌菌液，让试管苗长出根瘤。然后将甲、乙两组的试管苗分别转入__________的培养液中培养，观察两组试管苗的生长状况，若甲组的生长状况好于乙组，则说明____________________。
（4）若实验获得一种具有良好固氮能力的根瘤菌，可通过发酵工程获得大量根瘤菌，用于生产根瘤菌肥。根瘤菌肥是一种微生物肥料，在农业生产中使用微生物肥料的作用是__________（答出2点即可）。</x:v>
      </x:c>
      <x:c r="H13" s="42" t="str"/>
      <x:c r="I13" s="42" t="str">
        <x:v>（1）由根瘤菌繁殖形成的单菌落
（2） ①. 脱分化 ②. 再分化 ③. 细胞经分裂和分化后，仍具有产生完整有机体或分化成其他各种细胞的潜能和特性。
（3） ①. 无氮源 ②. 接种到试管苗上的根瘤菌具有固氮能力
（4）①促讲植物生长，增加作物产量 ②能够减少化肥使用，改良土壤，减少污染，保护生态环境</x:v>
      </x:c>
      <x:c r="J13" s="42" t="str">
        <x:v>【分析】在微生物学中，将接种于培养基内，在合适条件下形成的含特定种类微生物的群体称为培养物。由单一个体繁殖所获得的微生物群体称为纯培养物。获得纯培养物的过程称纯培养，包括配制培养基、灭菌、接种、分离和培养等步骤。
细胞全能性是指细胞经分裂和分化后，仍具有产生完整有机体或分化成其他各种细胞的潜能和特性。
植物组织培养是指在无菌和人工控制的环境条件下，利用人工培养基对离体的植物器官、组织、细胞及原生质体等进行培养，使其再生细胞或完整植株的技术。
【小问1详解】
在微生物学中将接种于培养基内，在合适条件下形成的含特定种类微生物的群体成为纯培养物。由单一个体繁殖所获得的微生物群体。对于本实验来说就是根瘤菌繁殖得到的单菌落。
【小问2详解】
植物组织培养的过程先是脱分化形成愈伤组织，后再分化形成试管苗。细胞全能性是指细胞经分裂和分化后，仍具有产生完整有机体或分化成其他各种细胞的潜能和特性。
【小问3详解】
控制变量，因为甲组和乙组的区别是固氮菌，所以要保证培养液中没有氮源，探究的是接种到试管菌上的根瘤菌是否具有固氮能力，如果甲长得好，说明接种到试管菌上的根瘤能具有固氮能力。
【小问4详解】
微生物肥料除了能够促进植物生长，起到肥料的作用之外，能够减少化肥的使用，改良土壤，保护环境。</x:v>
      </x:c>
      <x:c r="K13" s="50" t="n">
        <x:v>2</x:v>
      </x:c>
      <x:c r="L13" s="50" t="n">
        <x:v>0</x:v>
      </x:c>
      <x:c r="M13" s="50" t="str">
        <x:v>生物技术实践</x:v>
      </x:c>
      <x:c r="N13" s="42" t="str">
        <x:v>生物技术实践&gt;微生物培养与发酵&gt;根瘤菌；生物技术实践&gt;植物组织培养&gt;全能性</x:v>
      </x:c>
      <x:c r="O13" s="50" t="str">
        <x:v>hard</x:v>
      </x:c>
      <x:c r="P13" s="42" t="str">
        <x:v>需要综合多个条件，围绕根瘤菌进行多环节推理、定量计算或实验分析。</x:v>
      </x:c>
      <x:c r="Q13" s="50" t="str">
        <x:v>待审核</x:v>
      </x:c>
      <x:c r="R13" s="50" t="str">
        <x:v>待审核</x:v>
      </x:c>
      <x:c r="S13" s="43" t="str">
        <x:v>试题：E:\BISHE2026\题库\理综\2023年高考真题——理综（新课标卷）Word版含解析.doc
答案解析：E:\BISHE2026\题库\理综\2023年高考真题——理综（新课标卷）Word版含解析.doc</x:v>
      </x:c>
    </x:row>
    <x:row r="14" ht="72" customHeight="1">
      <x:c r="A14" s="49" t="str">
        <x:v>生物</x:v>
      </x:c>
      <x:c r="B14" s="50" t="n">
        <x:v>2023</x:v>
      </x:c>
      <x:c r="C14" s="50" t="str">
        <x:v>全国</x:v>
      </x:c>
      <x:c r="D14" s="50" t="str">
        <x:v>2023年高考真题——理综（全国甲卷）</x:v>
      </x:c>
      <x:c r="E14" s="50" t="str">
        <x:v>1</x:v>
      </x:c>
      <x:c r="F14" s="50" t="str">
        <x:v>单选题</x:v>
      </x:c>
      <x:c r="G14" s="42" t="str">
        <x:v>物质输入和输出细胞都需要经过细胞膜。下列有关人体内物质跨膜运输的叙述，正确的是（ ）</x:v>
      </x:c>
      <x:c r="H14" s="42" t="str">
        <x:v>A. 乙醇是有机物，不能通过自由扩散方式跨膜进入细胞
B. 血浆中的K⁺进入红细胞时需要载体蛋白并消耗ATP
C. 抗体在浆细胞内合成时消耗能量，其分泌过程不耗能
D. 葡萄糖可通过主动运输但不能通过协助扩散进入细胞</x:v>
      </x:c>
      <x:c r="I14" s="42" t="str">
        <x:v>B</x:v>
      </x:c>
      <x:c r="J14" s="42" t="str">
        <x:v>【分析】自由扩散：物质通过简单的扩散进出细胞的方式，如氧气、二氧化碳、脂溶性小分子。
主动运输：逆浓度梯度的运输。消耗能量，需要有载体蛋白。
【详解】A、乙醇是有机物，与细胞膜中磷脂相似相溶，可以通过扩散方式进入细胞，A错误；
B、血浆中K⁺量低，红细胞内K⁺含量高，逆浓度梯度为主动运输，需要消耗ATP并需要载体蛋白，B正确；
C、抗体为分泌蛋白，分泌过程为胞吐，需要消耗能量，C错误；
D、葡萄糖进入小肠上皮细胞等为主动运输，进入哺乳动物成熟的红细胞为协助扩散，D错误。
故选B。</x:v>
      </x:c>
      <x:c r="K14" s="50" t="n">
        <x:v>0</x:v>
      </x:c>
      <x:c r="L14" s="50" t="n">
        <x:v>0</x:v>
      </x:c>
      <x:c r="M14" s="50" t="str">
        <x:v>分子与细胞</x:v>
      </x:c>
      <x:c r="N14" s="42" t="str">
        <x:v>分子与细胞&gt;细胞的物质输入和输出&gt;跨膜运输</x:v>
      </x:c>
      <x:c r="O14" s="50" t="str">
        <x:v>easy</x:v>
      </x:c>
      <x:c r="P14" s="42" t="str">
        <x:v>考查跨膜运输的直接识记或单步判断，条件明确，运算与推理量较小。</x:v>
      </x:c>
      <x:c r="Q14" s="50" t="str">
        <x:v>待审核</x:v>
      </x:c>
      <x:c r="R14" s="50" t="str">
        <x:v>待审核</x:v>
      </x:c>
      <x:c r="S14" s="43" t="str">
        <x:v>试题：E:\BISHE2026\题库\理综\2023年高考真题——理综（全国甲卷）Word版含解析.doc
答案解析：E:\BISHE2026\题库\理综\2023年高考真题——理综（全国甲卷）Word版含解析.doc</x:v>
      </x:c>
    </x:row>
    <x:row r="15" ht="72" customHeight="1">
      <x:c r="A15" s="49" t="str">
        <x:v>生物</x:v>
      </x:c>
      <x:c r="B15" s="50" t="n">
        <x:v>2023</x:v>
      </x:c>
      <x:c r="C15" s="50" t="str">
        <x:v>全国</x:v>
      </x:c>
      <x:c r="D15" s="50" t="str">
        <x:v>2023年高考真题——理综（全国甲卷）</x:v>
      </x:c>
      <x:c r="E15" s="50" t="str">
        <x:v>2</x:v>
      </x:c>
      <x:c r="F15" s="50" t="str">
        <x:v>单选题</x:v>
      </x:c>
      <x:c r="G15" s="42" t="str">
        <x:v>植物激素是一类由植物体产生的，对植物的生长发育有显著影响的微量有机物，下列关于植物激素的叙述，错误的是（ ）</x:v>
      </x:c>
      <x:c r="H15" s="42" t="str">
        <x:v>A. 在植物幼嫩的芽中色氨酸可以转变成生长素
B. 生长素可以从产生部位运输到其他部位发挥作用
C. 生长素和乙烯可通过相互作用共同调节植物的生长发育
D. 植物体内生长素可以作为催化剂直接参与细胞代谢过程</x:v>
      </x:c>
      <x:c r="I15" s="42" t="str">
        <x:v>D</x:v>
      </x:c>
      <x:c r="J15" s="42" t="str">
        <x:v>【分析】植物激素是植物产生的由产生部位运输到作用部位的微量有机物。
【详解】A、生长素的产生位置主要是植物幼嫩的芽、叶和发育中的种子；色氨酸是合成生长素的原料，A正确；
B、植物激素都是由产生部位运输到作用部位的，B正确；
C、植物激素之间相互协调，互相配合共同影响植物生命活动，调节植物生长发育，C正确；
D、生长素是信号分子，不是催化剂，催化是酶的作用，D错误。
故选D。</x:v>
      </x:c>
      <x:c r="K15" s="50" t="n">
        <x:v>0</x:v>
      </x:c>
      <x:c r="L15" s="50" t="n">
        <x:v>0</x:v>
      </x:c>
      <x:c r="M15" s="50" t="str">
        <x:v>稳态与环境</x:v>
      </x:c>
      <x:c r="N15" s="42" t="str">
        <x:v>稳态与环境&gt;植物生命活动调节&gt;植物激素</x:v>
      </x:c>
      <x:c r="O15" s="50" t="str">
        <x:v>easy</x:v>
      </x:c>
      <x:c r="P15" s="42" t="str">
        <x:v>考查植物激素的直接识记或单步判断，条件明确，运算与推理量较小。</x:v>
      </x:c>
      <x:c r="Q15" s="50" t="str">
        <x:v>待审核</x:v>
      </x:c>
      <x:c r="R15" s="50" t="str">
        <x:v>待审核</x:v>
      </x:c>
      <x:c r="S15" s="43" t="str">
        <x:v>试题：E:\BISHE2026\题库\理综\2023年高考真题——理综（全国甲卷）Word版含解析.doc
答案解析：E:\BISHE2026\题库\理综\2023年高考真题——理综（全国甲卷）Word版含解析.doc</x:v>
      </x:c>
    </x:row>
    <x:row r="16" ht="72" customHeight="1">
      <x:c r="A16" s="49" t="str">
        <x:v>生物</x:v>
      </x:c>
      <x:c r="B16" s="50" t="n">
        <x:v>2023</x:v>
      </x:c>
      <x:c r="C16" s="50" t="str">
        <x:v>全国</x:v>
      </x:c>
      <x:c r="D16" s="50" t="str">
        <x:v>2023年高考真题——理综（全国甲卷）</x:v>
      </x:c>
      <x:c r="E16" s="50" t="str">
        <x:v>3</x:v>
      </x:c>
      <x:c r="F16" s="50" t="str">
        <x:v>单选题</x:v>
      </x:c>
      <x:c r="G16" s="42" t="str">
        <x:v>中枢神经系统对维持人体内环境的稳态具有重要作用。下列关于人体中枢的叙述，错误的是（ ）</x:v>
      </x:c>
      <x:c r="H16" s="42" t="str">
        <x:v>A. 大脑皮层是调节机体活动的最高级中枢
B. 中枢神经系统的脑和脊髓中含有大量的神经元
C. 位于脊髓的低级中枢通常受脑中相应的高级中枢调控
D. 人体脊髓完整而脑部受到损伤时，不能完成膝跳反射</x:v>
      </x:c>
      <x:c r="I16" s="42" t="str">
        <x:v>D</x:v>
      </x:c>
      <x:c r="J16" s="42" t="str">
        <x:v>【分析】各级中枢的分布与功能：①大脑：大脑皮层是调节机体活动的最高级中枢，是高级神经活动的结构基础。其上有语言、听觉、视觉、运动等高级中枢。②小脑：有维持身体平衡的中枢。③脑干：有许多重要的生命活动中枢，如心血管中枢、呼吸中枢等。④下丘脑：有体温调节中枢、渗透压感受器（水平衡中枢）、血糖平衡调节中枢，是调节内分泌活动的总枢纽。⑤脊髓：调节躯体运动的低级中枢。
【详解】A、调节机体的最高级中枢是大脑皮层，可调控相应的低级中枢，A正确；
B、脊椎动物和人的中枢神经系统，包括位于颅腔中的脑和脊柱椎管内的脊髓，它们含有大量的神经元这些神经元组合成许多不同的神经中枢，分别负责调控某一特定的生理功能，B正确；
C、脑中的高级中枢可调控位于脊髓的低级中枢，C正确；
D、膝跳反射低级神经中枢位于脊髓，故脊髓完整时即可完成膝跳反射，D错误。
故选D。</x:v>
      </x:c>
      <x:c r="K16" s="50" t="n">
        <x:v>0</x:v>
      </x:c>
      <x:c r="L16" s="50" t="n">
        <x:v>0</x:v>
      </x:c>
      <x:c r="M16" s="50" t="str">
        <x:v>稳态与环境</x:v>
      </x:c>
      <x:c r="N16" s="42" t="str">
        <x:v>稳态与环境&gt;神经调节&gt;中枢神经系统</x:v>
      </x:c>
      <x:c r="O16" s="50" t="str">
        <x:v>easy</x:v>
      </x:c>
      <x:c r="P16" s="42" t="str">
        <x:v>考查中枢神经系统的直接识记或单步判断，条件明确，运算与推理量较小。</x:v>
      </x:c>
      <x:c r="Q16" s="50" t="str">
        <x:v>待审核</x:v>
      </x:c>
      <x:c r="R16" s="50" t="str">
        <x:v>待审核</x:v>
      </x:c>
      <x:c r="S16" s="43" t="str">
        <x:v>试题：E:\BISHE2026\题库\理综\2023年高考真题——理综（全国甲卷）Word版含解析.doc
答案解析：E:\BISHE2026\题库\理综\2023年高考真题——理综（全国甲卷）Word版含解析.doc</x:v>
      </x:c>
    </x:row>
    <x:row r="17" ht="72" customHeight="1">
      <x:c r="A17" s="49" t="str">
        <x:v>生物</x:v>
      </x:c>
      <x:c r="B17" s="50" t="n">
        <x:v>2023</x:v>
      </x:c>
      <x:c r="C17" s="50" t="str">
        <x:v>全国</x:v>
      </x:c>
      <x:c r="D17" s="50" t="str">
        <x:v>2023年高考真题——理综（全国甲卷）</x:v>
      </x:c>
      <x:c r="E17" s="50" t="str">
        <x:v>4</x:v>
      </x:c>
      <x:c r="F17" s="50" t="str">
        <x:v>单选题</x:v>
      </x:c>
      <x:c r="G17" s="42" t="str">
        <x:v>探究植物细胞的吸水和失水实验是高中学生常做的实验。某同学用紫色洋葱鳞片叶外表皮为材料进行实验，探究蔗糖溶液，清水处理外表皮后，外表皮细胞原生质体和液泡的体积及细胞液浓度的变化。图中所提到的原生质体是指植物细胞不包括细胞壁的部分。下列示意图中能够正确表示实验结果的是（ ）</x:v>
      </x:c>
      <x:c r="H17" s="42" t="str">
        <x:v>A. 〔图片对象 I003〕
B. 〔图片对象 I004〕
C. 〔图片对象 I005〕
D. 〔图片对象 I006〕</x:v>
      </x:c>
      <x:c r="I17" s="42" t="str">
        <x:v>C</x:v>
      </x:c>
      <x:c r="J17" s="42" t="str">
        <x:v>【分析】1、质壁分离与复原的原理：成熟的植物细胞构成渗透系统，可发生渗透作用。
2、质壁分离的原因分析：外因：外界溶液浓度&gt;细胞液浓度；内因：原生质层相当于一层半透膜，细胞壁的伸缩性小于原生质层。
【详解】AB、用30%蔗糖处理之后，细胞失水，原生质体和细胞液的体积都会减小，细胞液浓度上升；用清水处理之后，细胞吸水，原生质体和细胞液体积会扩大，细胞液浓度下降，AB错误。
CD、随着所用蔗糖浓度上升，当蔗糖浓度超过细胞液浓度之后，细胞就会开始失水，原生质体和细胞液体积下降，细胞液浓度上升，故C正确，D错误。
故选C。
【点睛】外界溶液浓度高，细胞失水，细胞体积减小，细胞液浓度增大。</x:v>
      </x:c>
      <x:c r="K17" s="50" t="n">
        <x:v>4</x:v>
      </x:c>
      <x:c r="L17" s="50" t="n">
        <x:v>0</x:v>
      </x:c>
      <x:c r="M17" s="50" t="str">
        <x:v>实验与探究</x:v>
      </x:c>
      <x:c r="N17" s="42" t="str">
        <x:v>实验与探究&gt;细胞实验&gt;植物细胞吸水和失水</x:v>
      </x:c>
      <x:c r="O17" s="50" t="str">
        <x:v>medium</x:v>
      </x:c>
      <x:c r="P17" s="42" t="str">
        <x:v>需要提取题干或图表信息，并结合植物细胞吸水和失水完成两步左右的判断或计算。</x:v>
      </x:c>
      <x:c r="Q17" s="50" t="str">
        <x:v>待审核</x:v>
      </x:c>
      <x:c r="R17" s="50" t="str">
        <x:v>待审核</x:v>
      </x:c>
      <x:c r="S17" s="43" t="str">
        <x:v>试题：E:\BISHE2026\题库\理综\2023年高考真题——理综（全国甲卷）Word版含解析.doc
答案解析：E:\BISHE2026\题库\理综\2023年高考真题——理综（全国甲卷）Word版含解析.doc</x:v>
      </x:c>
    </x:row>
    <x:row r="18" ht="72" customHeight="1">
      <x:c r="A18" s="49" t="str">
        <x:v>生物</x:v>
      </x:c>
      <x:c r="B18" s="50" t="n">
        <x:v>2023</x:v>
      </x:c>
      <x:c r="C18" s="50" t="str">
        <x:v>全国</x:v>
      </x:c>
      <x:c r="D18" s="50" t="str">
        <x:v>2023年高考真题——理综（全国甲卷）</x:v>
      </x:c>
      <x:c r="E18" s="50" t="str">
        <x:v>5</x:v>
      </x:c>
      <x:c r="F18" s="50" t="str">
        <x:v>单选题</x:v>
      </x:c>
      <x:c r="G18" s="42" t="str">
        <x:v>在生态系统中，生产者所固定的能量可以沿着食物链传递，食物链中的每个环节即为一个营养级。下列关于营养级的叙述，错误的是（ ）</x:v>
      </x:c>
      <x:c r="H18" s="42" t="str">
        <x:v>A. 同种动物在不同食物链中可能属于不同营养级
B. 作为生产者的绿色植物所固定的能量来源于太阳
C. 作为次级消费者的肉食性动物属于食物链的第二营养级
D. 能量从食物链第一营养级向第二营养级只能单向流动</x:v>
      </x:c>
      <x:c r="I18" s="42" t="str">
        <x:v>C</x:v>
      </x:c>
      <x:c r="J18" s="42" t="str">
        <x:v>【分析】生态系统的能量流动是单向的、逐级递减的，沿着食物链和食物网流动；生产者为第一营养级，初级消费者为第二营养级，次级消费者为第三营养级。
【详解】A、杂食动物既会捕食植物，又会捕食动物，如果捕食植物，就是第二营养级，捕食动物，就是第三营养级或更高营养级，所以不同食物链中的动物会处于不同的营养级，A正确；
B、绿色植物进行的是光合作用，能量来源于太阳，B正确；
C、次级消费者是第三营养级，初级消费者是第二营养级，第一营养级是生产者，C错误；
D、因为第一营养级是植物，第二营养级是动物，食物链是单向的，能量流动也就是单向的，D正确。
故选C。</x:v>
      </x:c>
      <x:c r="K18" s="50" t="n">
        <x:v>0</x:v>
      </x:c>
      <x:c r="L18" s="50" t="n">
        <x:v>0</x:v>
      </x:c>
      <x:c r="M18" s="50" t="str">
        <x:v>稳态与环境</x:v>
      </x:c>
      <x:c r="N18" s="42" t="str">
        <x:v>稳态与环境&gt;生态系统&gt;营养级与能量流动</x:v>
      </x:c>
      <x:c r="O18" s="50" t="str">
        <x:v>easy</x:v>
      </x:c>
      <x:c r="P18" s="42" t="str">
        <x:v>考查营养级与能量流动的直接识记或单步判断，条件明确，运算与推理量较小。</x:v>
      </x:c>
      <x:c r="Q18" s="50" t="str">
        <x:v>待审核</x:v>
      </x:c>
      <x:c r="R18" s="50" t="str">
        <x:v>待审核</x:v>
      </x:c>
      <x:c r="S18" s="43" t="str">
        <x:v>试题：E:\BISHE2026\题库\理综\2023年高考真题——理综（全国甲卷）Word版含解析.doc
答案解析：E:\BISHE2026\题库\理综\2023年高考真题——理综（全国甲卷）Word版含解析.doc</x:v>
      </x:c>
    </x:row>
    <x:row r="19" ht="72" customHeight="1">
      <x:c r="A19" s="49" t="str">
        <x:v>生物</x:v>
      </x:c>
      <x:c r="B19" s="50" t="n">
        <x:v>2023</x:v>
      </x:c>
      <x:c r="C19" s="50" t="str">
        <x:v>全国</x:v>
      </x:c>
      <x:c r="D19" s="50" t="str">
        <x:v>2023年高考真题——理综（全国甲卷）</x:v>
      </x:c>
      <x:c r="E19" s="50" t="str">
        <x:v>6</x:v>
      </x:c>
      <x:c r="F19" s="50" t="str">
        <x:v>单选题</x:v>
      </x:c>
      <x:c r="G19" s="42" t="str">
        <x:v>水稻的某病害是由某种真菌（有多个不同菌株）感染引起的。水稻中与该病害抗性有关的基因有3个（A1、A2、a）；基因A1控制全抗性状（抗所有菌株），基因A2控制抗性性状（抗部分菌株），基因a控制易感性状（不抗任何菌株），且A1对A2为显性，A1对a为显性、A2对a为显性。现将不同表现型的水稻植株进行杂交，子代可能会出现不同的表现型及其分离比。下列叙述错误的是（ ）</x:v>
      </x:c>
      <x:c r="H19" s="42" t="str">
        <x:v>A. 全抗植株与抗性植株杂交，子代可能出现全抗：抗性=3：1
B. 抗性植株与易感植株杂交，子代可能出现抗性：易感=1：1
C. 全抗植株与易感植株杂交，子代可能出现全抗：抗性=1：1
D. 全抗植株与抗性植株杂交，子代可能出现全抗：抗性：易感=2：1：1</x:v>
      </x:c>
      <x:c r="I19" s="42" t="str">
        <x:v>A</x:v>
      </x:c>
      <x:c r="J19" s="42" t="str">
        <x:v>【分析】基因分离定律实质:在杂合子细胞中，位于一对同源染色体上的等位基因，具有一定的独立性;当细胞进行减数分裂，等位基因会随着同源染色体的分开而分离，分别进入两个配子当中，独立地随配子遗传给后代。据题干分析可知，全抗植株是A1A1，A1A2，A1a，抗性植株A2A2或者A2a，易感植株是aa。
【详解】AD、全抗植株与抗性植株，有六种交配情况：A1A1与A2A2或者A2a交配，后代全是全抗植株；A1A2与A2A2或者A2a交配，后代全抗：抗性=1：1；A1a与A2A2交配，后代全抗：抗性=1：1；A1a与A2a交配，后代全抗：抗性：易感=2：1：1。A错误，D正确；
B、抗性植株A2A2或者A2a与易感植株aa交配，后代全为抗性，或者为抗性：易感=1：1，B正确
C、全抗与易感植株交，若如果是A1A1与aa，后代全为全抗，若是A1A2与a，后代为全抗：抗性=1：1，若是A1a与aa，后代为全抗:易感=1：1，C正确。
故选A。</x:v>
      </x:c>
      <x:c r="K19" s="50" t="n">
        <x:v>0</x:v>
      </x:c>
      <x:c r="L19" s="50" t="n">
        <x:v>0</x:v>
      </x:c>
      <x:c r="M19" s="50" t="str">
        <x:v>遗传与进化</x:v>
      </x:c>
      <x:c r="N19" s="42" t="str">
        <x:v>遗传与进化&gt;遗传规律&gt;复等位基因</x:v>
      </x:c>
      <x:c r="O19" s="50" t="str">
        <x:v>medium</x:v>
      </x:c>
      <x:c r="P19" s="42" t="str">
        <x:v>需要提取题干或图表信息，并结合复等位基因完成两步左右的判断或计算。</x:v>
      </x:c>
      <x:c r="Q19" s="50" t="str">
        <x:v>待审核</x:v>
      </x:c>
      <x:c r="R19" s="50" t="str">
        <x:v>待审核</x:v>
      </x:c>
      <x:c r="S19" s="43" t="str">
        <x:v>试题：E:\BISHE2026\题库\理综\2023年高考真题——理综（全国甲卷）Word版含解析.doc
答案解析：E:\BISHE2026\题库\理综\2023年高考真题——理综（全国甲卷）Word版含解析.doc</x:v>
      </x:c>
    </x:row>
    <x:row r="20" ht="72" customHeight="1">
      <x:c r="A20" s="49" t="str">
        <x:v>生物</x:v>
      </x:c>
      <x:c r="B20" s="50" t="n">
        <x:v>2023</x:v>
      </x:c>
      <x:c r="C20" s="50" t="str">
        <x:v>全国</x:v>
      </x:c>
      <x:c r="D20" s="50" t="str">
        <x:v>2023年高考真题——理综（全国甲卷）</x:v>
      </x:c>
      <x:c r="E20" s="50" t="str">
        <x:v>29</x:v>
      </x:c>
      <x:c r="F20" s="50" t="str">
        <x:v>解答题</x:v>
      </x:c>
      <x:c r="G20" s="42" t="str">
        <x:v>某同学将从菠菜叶中分离到的叶绿体悬浮于缓冲液中，给该叶绿体悬浮液照光后糖产生。回答下列问题。
（1）叶片是分离制备叶绿体的常用材料，若要将叶肉细胞中的叶绿体与线粒体等其他细胞器分离，可以采用的方法是_____（答出1种即可）。叶绿体中光合色素分布_____上，其中类胡萝卜素主要吸收_____（填“蓝紫光”“红光”或“绿光”）。
（2）将叶绿体的内膜和外膜破坏后，加入缓冲液形成悬浮液，发现黑暗条件下悬浮液中不能产生糖，原因是_____。
（3）叶片进行光合作用时，叶绿体中会产生淀粉。请设计实验证明叶绿体中有淀粉存在，简要写出实验思路和预期结果。_____</x:v>
      </x:c>
      <x:c r="H20" s="42" t="str"/>
      <x:c r="I20" s="42" t="str">
        <x:v>（1） ①. 差速离心 ②. 类囊体（薄）膜 ③. 蓝紫光
（2）悬液中具有类囊体膜以及叶绿体基质暗反应相关的酶，但黑暗条件下，光反应无法进行，暗反应没有光反应提供的原料ATP和NADPH，所以无法形成糖类。
（3）思路：将生长状况良好且相同的植物叶片分为甲乙两组，两组植物应均进行饥饿处理（置于黑暗中一段时间消耗有机物），甲组放置在有光条件下，乙组放置在其他环境相同的黑暗状态下，一段时间后，用差速离心法提取出甲乙两组的叶绿体，脱绿后制作成匀浆，分别加入碘液后观察。结果：甲组匀浆出现蓝色，有淀粉产生；乙组无蓝色出现，无淀粉产生。</x:v>
      </x:c>
      <x:c r="J20" s="42" t="str">
        <x:v>【分析】叶绿体中的光合色素分布在类囊体膜上，光合色素叶绿素主要吸收红光和蓝紫光，类胡萝卜素主要吸收红光。
【小问1详解】
植物细胞器的分离方法可用差速离心法，叶绿体中的光合色素分布在类囊体膜上，光合色素叶绿素主要吸收红光和蓝紫光，类胡萝卜素主要吸收蓝紫光。
【小问2详解】
光合作用光反应和暗反应同时进行，黑暗条件下无光，光反应不能进行，无法为暗反应提供原料ATP和NADPH，暗反应无法进行，产物不能生成。
【小问3详解】
要验证叶绿体中有光合作用产物淀粉，需要将叶绿体提取出来并检测其中淀粉。因此将生长状况良好且相同的植物叶片分为甲乙两组，先进行饥饿处理，排除原有淀粉的干扰。之后甲组放置在有光条件下，乙组放置在其他环境相同的黑暗状态下，一段时间后，用差速离心法提取出甲乙两组的叶绿体，需要脱绿处理，制作成匀浆，分别加入碘液后观察。
预期的结果：甲组匀浆出现蓝色，有淀粉产生；乙组无蓝色出现，无淀粉产生。</x:v>
      </x:c>
      <x:c r="K20" s="50" t="n">
        <x:v>0</x:v>
      </x:c>
      <x:c r="L20" s="50" t="n">
        <x:v>0</x:v>
      </x:c>
      <x:c r="M20" s="50" t="str">
        <x:v>实验与探究</x:v>
      </x:c>
      <x:c r="N20" s="42" t="str">
        <x:v>实验与探究&gt;植物生理实验&gt;叶绿体与光合作用</x:v>
      </x:c>
      <x:c r="O20" s="50" t="str">
        <x:v>hard</x:v>
      </x:c>
      <x:c r="P20" s="42" t="str">
        <x:v>需要综合多个条件，围绕叶绿体与光合作用进行多环节推理、定量计算或实验分析。</x:v>
      </x:c>
      <x:c r="Q20" s="50" t="str">
        <x:v>待审核</x:v>
      </x:c>
      <x:c r="R20" s="50" t="str">
        <x:v>待审核</x:v>
      </x:c>
      <x:c r="S20" s="43" t="str">
        <x:v>试题：E:\BISHE2026\题库\理综\2023年高考真题——理综（全国甲卷）Word版含解析.doc
答案解析：E:\BISHE2026\题库\理综\2023年高考真题——理综（全国甲卷）Word版含解析.doc</x:v>
      </x:c>
    </x:row>
    <x:row r="21" ht="72" customHeight="1">
      <x:c r="A21" s="49" t="str">
        <x:v>生物</x:v>
      </x:c>
      <x:c r="B21" s="50" t="n">
        <x:v>2023</x:v>
      </x:c>
      <x:c r="C21" s="50" t="str">
        <x:v>全国</x:v>
      </x:c>
      <x:c r="D21" s="50" t="str">
        <x:v>2023年高考真题——理综（全国甲卷）</x:v>
      </x:c>
      <x:c r="E21" s="50" t="str">
        <x:v>30</x:v>
      </x:c>
      <x:c r="F21" s="50" t="str">
        <x:v>解答题</x:v>
      </x:c>
      <x:c r="G21" s="42" t="str">
        <x:v>某研究小组以某种哺乳动物（动物甲）为对象研究水盐平衡调节，发现动物达到一定程度时，尿量明显减少并出现主动饮水行为；而大量饮用清水后，尿量增加。回答下列问题。
（1）哺乳动物水盐平衡的调节中枢位于_____。
（2）动物甲大量失水后，其单位体积细胞外液中溶质微粒的数目会_____，信息被机体内的某种感受器感受后，动物甲便会产生一种感觉即_____，进而主动饮水。
（3）请从水盐平衡调节的角度分析，动物甲大量饮水后尿量增加的原因是_____。</x:v>
      </x:c>
      <x:c r="H21" s="42" t="str"/>
      <x:c r="I21" s="42" t="str">
        <x:v>（1）下丘脑 （2） ①. 升高 ②. 渴觉
（3）动物甲大量饮水→细胞外液渗透压降低→下丘脑渗透压感受器兴奋→下丘脑水平衡调节中枢兴奋→垂体释放抗利尿激素减少→肾小管、集合管重吸收减少→尿量增加</x:v>
      </x:c>
      <x:c r="J21" s="42" t="str">
        <x:v>【分析】1、水盐平衡的调节∶体内水少或吃的食物过咸时→细胞外液渗透压升高→下丘脑感受器受到刺激→垂体释放抗利尿激素多一肾小管、集合管重吸收增加→尿量减少，同时大脑皮层产生渴觉（主动饮水）﹔大量饮水→体内水多→细胞外液渗透压降低→下丘脑感受器受到刺激→垂体释放抗利尿激素少→肾小管、集合管重吸收减少→尿量增加。
2、下丘脑分泌的促甲状腺激素释放激素能促进垂体分泌促甲状腺激素，垂体分泌促甲状腺激素能促进甲状腺分泌甲状腺激素。当血液中甲状腺激素的含量降低时，对下丘脑和垂体的抑制作用减弱，使促甲状腺激素释放激素和促甲状腺激素的合成和分泌增加，从而使血液中甲状腺激素不致过少。
【小问1详解】
哺乳动物水盐平衡的调节中枢位于下丘脑。
【小问2详解】
动物大量失水后，细胞外液中溶质微粒数量不变，水减少，单位体积内溶质微粒数会升高，渗透压上升，同时大脑皮层产生渴觉，进而主动饮水。
【小问3详解】
动物大量饮水，细胞外液渗透压下降，下丘脑渗透压感受器兴奋，传至下丘脑，下丘脑水平衡调节中枢兴奋，传出神经，传至肾脏，肾脏重吸收水分减少，尿量增加。</x:v>
      </x:c>
      <x:c r="K21" s="50" t="n">
        <x:v>0</x:v>
      </x:c>
      <x:c r="L21" s="50" t="n">
        <x:v>0</x:v>
      </x:c>
      <x:c r="M21" s="50" t="str">
        <x:v>稳态与环境</x:v>
      </x:c>
      <x:c r="N21" s="42" t="str">
        <x:v>稳态与环境&gt;水盐平衡调节&gt;抗利尿激素</x:v>
      </x:c>
      <x:c r="O21" s="50" t="str">
        <x:v>medium</x:v>
      </x:c>
      <x:c r="P21" s="42" t="str">
        <x:v>需要提取题干或图表信息，并结合抗利尿激素完成两步左右的判断或计算。</x:v>
      </x:c>
      <x:c r="Q21" s="50" t="str">
        <x:v>待审核</x:v>
      </x:c>
      <x:c r="R21" s="50" t="str">
        <x:v>待审核</x:v>
      </x:c>
      <x:c r="S21" s="43" t="str">
        <x:v>试题：E:\BISHE2026\题库\理综\2023年高考真题——理综（全国甲卷）Word版含解析.doc
答案解析：E:\BISHE2026\题库\理综\2023年高考真题——理综（全国甲卷）Word版含解析.doc</x:v>
      </x:c>
    </x:row>
    <x:row r="22" ht="72" customHeight="1">
      <x:c r="A22" s="49" t="str">
        <x:v>生物</x:v>
      </x:c>
      <x:c r="B22" s="50" t="n">
        <x:v>2023</x:v>
      </x:c>
      <x:c r="C22" s="50" t="str">
        <x:v>全国</x:v>
      </x:c>
      <x:c r="D22" s="50" t="str">
        <x:v>2023年高考真题——理综（全国甲卷）</x:v>
      </x:c>
      <x:c r="E22" s="50" t="str">
        <x:v>31</x:v>
      </x:c>
      <x:c r="F22" s="50" t="str">
        <x:v>解答题</x:v>
      </x:c>
      <x:c r="G22" s="42" t="str">
        <x:v>某旅游城市加强生态保护和环境治理后，城市环境发生了很大变化，水体鱼明显增多，甚至曾经消失的一些水鸟（如水鸟甲）又重新出现。回答下列问题。
（1）调查水鸟甲的种群密度通常使用标志重捕法，原因是_____。
（2）从生态系统组成成分的角度来看，水体中的鱼，水鸟属于_____。
（3）若要了解该城市某个季节水鸟甲种群的环境容纳量，请围绕除食物外的调查内容有_____（答出3点即可）。</x:v>
      </x:c>
      <x:c r="H22" s="42" t="str"/>
      <x:c r="I22" s="42" t="str">
        <x:v>（1）鸟类活动能力强，活动范围大
（2）消费者 （3）环境条件、天敌和竞争者</x:v>
      </x:c>
      <x:c r="J22" s="42" t="str">
        <x:v>【分析】调查动物的种群密度常用的方法是标记重捕法，计算种群数量时利用公式计算若将该地段种群个体总数记作N，其中标记数为M，重捕个体数为n，重捕中标志个体数为m，假定总数中标记个体的比例与重捕取样中标志个体的比例相同，则N=Mn/m ,
【小问1详解】
水鸟甲的活动能力较强，活动范围较大，通常运用标志重捕法调查其种群密度。
【小问2详解】
生态系统组成成分包括非生物部分的物质和能量、生产者、消费者、分解者，鱼和水鸟均直接或间接以绿色植物为食，属于消费者。
【小问3详解】
环境容纳量是指一定的环境条件所能维持的种群最大数量，该数量的大小由环境条件决定，影响环境容纳量的因素包括食物、天敌、竞争者和环境条件等。</x:v>
      </x:c>
      <x:c r="K22" s="50" t="n">
        <x:v>0</x:v>
      </x:c>
      <x:c r="L22" s="50" t="n">
        <x:v>0</x:v>
      </x:c>
      <x:c r="M22" s="50" t="str">
        <x:v>稳态与环境</x:v>
      </x:c>
      <x:c r="N22" s="42" t="str">
        <x:v>稳态与环境&gt;种群与群落&gt;种群密度与环境容纳量</x:v>
      </x:c>
      <x:c r="O22" s="50" t="str">
        <x:v>medium</x:v>
      </x:c>
      <x:c r="P22" s="42" t="str">
        <x:v>需要提取题干或图表信息，并结合种群密度与环境容纳量完成两步左右的判断或计算。</x:v>
      </x:c>
      <x:c r="Q22" s="50" t="str">
        <x:v>待审核</x:v>
      </x:c>
      <x:c r="R22" s="50" t="str">
        <x:v>待审核</x:v>
      </x:c>
      <x:c r="S22" s="43" t="str">
        <x:v>试题：E:\BISHE2026\题库\理综\2023年高考真题——理综（全国甲卷）Word版含解析.doc
答案解析：E:\BISHE2026\题库\理综\2023年高考真题——理综（全国甲卷）Word版含解析.doc</x:v>
      </x:c>
    </x:row>
    <x:row r="23" ht="72" customHeight="1">
      <x:c r="A23" s="49" t="str">
        <x:v>生物</x:v>
      </x:c>
      <x:c r="B23" s="50" t="n">
        <x:v>2023</x:v>
      </x:c>
      <x:c r="C23" s="50" t="str">
        <x:v>全国</x:v>
      </x:c>
      <x:c r="D23" s="50" t="str">
        <x:v>2023年高考真题——理综（全国甲卷）</x:v>
      </x:c>
      <x:c r="E23" s="50" t="str">
        <x:v>32</x:v>
      </x:c>
      <x:c r="F23" s="50" t="str">
        <x:v>解答题</x:v>
      </x:c>
      <x:c r="G23" s="42" t="str">
        <x:v>乙烯是植物果实成熟所需的激素，阻断乙烯的合成可使果实不能正常成熟，这一特点可以用于解决果实不耐储存的问题，以达到增加经济效益的目的。现有某种植物的3个纯合子（甲、乙、丙），其中甲和乙表现为果实不能正常成熟（不成熟），丙表现为果实能正常成熟（成熟），用这3个纯合子进行杂交实验，F₁自交得F₂，结果见下表。
〔表格开始〕
| 实验 | 杂交组合 | F₁表现型 | F₂表现型及分离比 |
| ① | 甲×丙 | 不成熟 | 不成熟：成熟=3：1 |
| ② | 乙×丙 | 成熟 | 成熟：不成熟=3：1 |
| ③ | 甲×乙 | 不成熟 | 不成熟：成熟=13：3 |
〔表格结束〕
回答下列问题。
（1）利用物理、化学等因素处理生物，可以使生物发生基因突变，从而获得新的品种。通常，基因突变是指_____。
（2）从实验①和②的结果可知，甲和乙的基因型不同，判断的依据是_____。
（3）已知丙的基因型为aaBB，且B基因控制合成的酶能够催化乙烯的合成，则甲、乙的基因型分别是_____；实验③中，F₂成熟个体的基因型是_____，F₂不成熟个体中纯合子所占的比例为_____。</x:v>
      </x:c>
      <x:c r="H23" s="42" t="str"/>
      <x:c r="I23" s="42" t="str">
        <x:v>（1）DNA分子上发生碱基的增添、替换、缺失导致的基因结构发生改变的过程
（2）实验①和实验②的F₁性状不同，F₂的性状分离比不相同
（3） ①. AABB、aabb ②. aaBB和aaBb ③. 3/13</x:v>
      </x:c>
      <x:c r="J23" s="42" t="str">
        <x:v>【分析】分离定律的实质是杂合体内等位基因在减数分裂生成配子时随同源染色体的分开而分离，进入两个不同的配子，独立的随配子遗传给后代。
组合定律的实质是：位于非同源染色体上的非等位基因的分离或自由组合是互不干扰的；在减数分裂过程中，同源染色体上的等位基因彼此分离的同时，非同源染色体上的非等位基因自由组合。
【小问1详解】
基因突变是指DNA分子上发生碱基的增添、替换、缺失导致的基因结构发生改变的过程。
【小问2详解】
甲与丙杂交的F₁为不成熟，子二代不成熟：成熟=3：1，所以甲的不成熟相对于成熟为显性，乙与丙杂交的F₁为成熟，子二代成熟：不成熟=3：1，所以乙的不成熟相对于成熟为隐性。即实验①和实验②的F₁性状不同，F₂的性状分离比不相同，故甲和乙的基因型不同。
【小问3详解】
由于甲的不成熟为显性，且丙为aaBB，所以甲是AABB；乙的不成熟为隐性，所以乙为aabb；则实验③的F₁为AaBb， F₂中成熟个体为aaB_，包括aaBB和aaBb，不成熟个体占1-（1/4）×（3/4）=13/16；而纯合子为AABB，AAbb，aabb，占3/16，所以不成熟中的纯合子占3/13。
（二）选考题：共45分。请考生从2道物理题、2道化学题、2道生物题中每科任选一题作答。如果多做，则每科按所做的第一题计分。</x:v>
      </x:c>
      <x:c r="K23" s="50" t="n">
        <x:v>0</x:v>
      </x:c>
      <x:c r="L23" s="50" t="n">
        <x:v>0</x:v>
      </x:c>
      <x:c r="M23" s="50" t="str">
        <x:v>遗传与进化</x:v>
      </x:c>
      <x:c r="N23" s="42" t="str">
        <x:v>遗传与进化&gt;遗传规律&gt;基因互作与性状分离</x:v>
      </x:c>
      <x:c r="O23" s="50" t="str">
        <x:v>hard</x:v>
      </x:c>
      <x:c r="P23" s="42" t="str">
        <x:v>需要综合多个条件，围绕基因互作与性状分离进行多环节推理、定量计算或实验分析。</x:v>
      </x:c>
      <x:c r="Q23" s="50" t="str">
        <x:v>待审核</x:v>
      </x:c>
      <x:c r="R23" s="50" t="str">
        <x:v>待审核</x:v>
      </x:c>
      <x:c r="S23" s="43" t="str">
        <x:v>试题：E:\BISHE2026\题库\理综\2023年高考真题——理综（全国甲卷）Word版含解析.doc
答案解析：E:\BISHE2026\题库\理综\2023年高考真题——理综（全国甲卷）Word版含解析.doc</x:v>
      </x:c>
    </x:row>
    <x:row r="24" ht="72" customHeight="1">
      <x:c r="A24" s="49" t="str">
        <x:v>生物</x:v>
      </x:c>
      <x:c r="B24" s="50" t="n">
        <x:v>2023</x:v>
      </x:c>
      <x:c r="C24" s="50" t="str">
        <x:v>全国</x:v>
      </x:c>
      <x:c r="D24" s="50" t="str">
        <x:v>2023年高考真题——理综（全国甲卷）</x:v>
      </x:c>
      <x:c r="E24" s="50" t="str">
        <x:v>37</x:v>
      </x:c>
      <x:c r="F24" s="50" t="str">
        <x:v>解答题</x:v>
      </x:c>
      <x:c r="G24" s="42" t="str">
        <x:v>【生物——选修1：生物技术实践】（15分）
为了研究蛋白质的结构与功能，常需要从生物材料中分离纯化蛋白质。某同学用凝胶色谱法从某种生物材料中分离纯化得到了甲、乙、丙3种蛋白质，并对纯化得到的3种蛋白质进行SDS-聚丙烯酰胺凝胶电泳，结果如图所示（“+”“-”分别代表电泳槽的阳极和阴极）。已知甲的相对分子质量是乙的2倍，且甲、乙均由一条肽链组成。回答下列问题。
〔图片对象 I480〕
（1）图中甲、乙、丙在进行SDS聚丙烯酰胺凝胶电泳时，迁移的方向是_____（填“从上向下”或“从下向上”）。
（2）图中丙在凝胶电泳时出现2个条带，其原因是_____。
（3）凝胶色谱法可以根据蛋白质_____的差异来分离蛋白质。据图判断，甲、乙、丙3种蛋白质中最先从凝胶色谱柱中洗脱出来的蛋白质是_____，最后从凝胶色谱柱中洗脱出来的蛋白质是_____。
（4）假设甲、乙、丙为3种酶，为了减少保存过程中酶活性的损失，应在_____（答出1点即可）条件下保存。</x:v>
      </x:c>
      <x:c r="H24" s="42" t="str"/>
      <x:c r="I24" s="42" t="str">
        <x:v>（1）从上向下
（2）丙由两条肽链组成
（3） ①. 相对分子质量 ②. 丙 ③. 乙
（4）低温</x:v>
      </x:c>
      <x:c r="J24" s="42" t="str">
        <x:v>【分析】1.样品纯化的目的是通过凝胶色谱法将相对分子质量大的蛋白质除去；凝胶色谱法是根据相对分子质量大小分离蛋白质的有效方法，相对分子质量较小的蛋白质容易进入凝胶内部的通道，路程长，移动的速度慢；相对分子质量较大的蛋白质不容易进入凝胶内部的通道，路程短，移动的速度快。
2.电泳是指带电粒子在电场的作用下发生迁移的过程。许多重要的生物大分子，如多肽、核酸等都具有可解离的基团，在一定的pH下，这些基团会带上正电或负电。在电场的作用下，这些带电分子会向着与其所带电荷相反的电极移动。电泳利用了待分离样品中各种分子带电性质的差异以及分子本身的大小、形状的不同，使带电分子产生不同的迁移速度，从而实现样品中各种分子的分离。
【小问1详解】
电泳利用了待分离样品中各种分子带电性质的差异以及分子本身的大小、形状的不同，使带电分子产生不同的迁移速度，从而实现样品中各种分子的分离。电泳时，分子质量越大，迁移距离越小，根据题中给出甲蛋白质的分子质量是乙的2倍，故甲的迁移距离相对乙较小，可判断出迁移方向是从上到下。
【小问2详解】
题中给出甲、乙均由一条肽链构成，图示凝胶电泳时甲、乙分别出现1个条带，故丙出现2个条带，说明丙是由2条肽链构成。
【小问3详解】
凝胶色谱法主要根据蛋白质的相对分子质量差异来分离蛋白质，相对分子质量大的蛋白质只能进入孔径较大的凝胶孔隙内，故移动距离较短，会先被洗脱出来，分子质量较小的蛋白质进入较多的凝胶颗粒内，移动距离较长，会后被洗脱出来。据图判断，丙的分子质量最大，最先被洗脱出来，乙的分子质量最小，最后被洗脱出来。
【小问4详解】
为了减少保存过程中酶活性的损失，应在酶的保存在低温条件下进行。</x:v>
      </x:c>
      <x:c r="K24" s="50" t="n">
        <x:v>1</x:v>
      </x:c>
      <x:c r="L24" s="50" t="n">
        <x:v>0</x:v>
      </x:c>
      <x:c r="M24" s="50" t="str">
        <x:v>生物技术实践</x:v>
      </x:c>
      <x:c r="N24" s="42" t="str">
        <x:v>生物技术实践&gt;生物大分子分离&gt;凝胶色谱与电泳</x:v>
      </x:c>
      <x:c r="O24" s="50" t="str">
        <x:v>hard</x:v>
      </x:c>
      <x:c r="P24" s="42" t="str">
        <x:v>需要综合多个条件，围绕凝胶色谱与电泳进行多环节推理、定量计算或实验分析。</x:v>
      </x:c>
      <x:c r="Q24" s="50" t="str">
        <x:v>待审核</x:v>
      </x:c>
      <x:c r="R24" s="50" t="str">
        <x:v>待审核</x:v>
      </x:c>
      <x:c r="S24" s="43" t="str">
        <x:v>试题：E:\BISHE2026\题库\理综\2023年高考真题——理综（全国甲卷）Word版含解析.doc
答案解析：E:\BISHE2026\题库\理综\2023年高考真题——理综（全国甲卷）Word版含解析.doc</x:v>
      </x:c>
    </x:row>
    <x:row r="25" ht="72" customHeight="1">
      <x:c r="A25" s="49" t="str">
        <x:v>生物</x:v>
      </x:c>
      <x:c r="B25" s="50" t="n">
        <x:v>2023</x:v>
      </x:c>
      <x:c r="C25" s="50" t="str">
        <x:v>全国</x:v>
      </x:c>
      <x:c r="D25" s="50" t="str">
        <x:v>2023年高考真题——理综（全国甲卷）</x:v>
      </x:c>
      <x:c r="E25" s="50" t="str">
        <x:v>38</x:v>
      </x:c>
      <x:c r="F25" s="50" t="str">
        <x:v>解答题</x:v>
      </x:c>
      <x:c r="G25" s="42" t="str">
        <x:v>【生物——选修3：现代生物科技专题】（15分）
接种疫苗是预防传染病的一项重要措施，乙肝疫苗的使用可有效阻止乙肝病诗的传播，降低乙型肝炎发病率。乙肝病毒是一种DNA病毒。重组乙肝疫苗的主要成分是利用基因工程技术获得的乙肝病毒表面抗原（一种病毒蛋白）。回答下列问题。
（1）接种上述重组乙肝疫苗不会在人体中产生乙肝病毒，原因是_____。
（2）制备重组乙肝疫苗时，需要利用重组表达载体将乙肝病毒表面抗原基因（目的基因）导入酵母细胞中表达。重组表达载体中通常含有抗生素抗性基因，抗生素抗性基因的作用是_____。能识别载体中的启动子并驱动目的基因转录的酶是_____。
（3）目的基因导入酵母细胞后，若要检测目的基因是否插入染色体中，需要从酵母细胞中提取_____进行DNA分子杂交，DNA分子杂交时应使用的探针是_____。
（4）若要通过实验检测目的基因在酵母细胞中是否表达出目的蛋白，请简要写出实验思路。_____</x:v>
      </x:c>
      <x:c r="H25" s="42" t="str"/>
      <x:c r="I25" s="42" t="str">
        <x:v>（1）重组乙肝疫苗成分为蛋白质，无法独立在宿主体内增殖
（2） ①. 筛选 ②. RNA聚合酶
（3） ①. 核染色体DNA ②. 被标记的目的基因的单链DNA片段
（4）①通过使用基因探针，利用分子杂交技术，检测目的基因是否转插入酵母细胞染色体
②通过使用基因探针，利用核酸分子杂交技术，检测目的基因是否转录形成mRNA
③通过使用相应抗体，利用抗原-抗体杂交技术，检测mRNA是否翻译形成蛋白质</x:v>
      </x:c>
      <x:c r="J25" s="42" t="str">
        <x:v>【分析】基因工程的操作步骤：（1）目的基因的获取；方法有从基因文库中获取、利用PCR技术扩增和人工合成；（2）基因表达载体的构建：是基因工程的核心步骤。基因表达载体包括目的基因、启动子、终止子和标记基因等；（3）将目的基因导入受体细胞；根据受体细胞不同，导入的方法也不一样，将目的基因导入植物细胞的方法有农杆菌转化法、基因枪法和花粉管通道法；将目的基因导入动物细胞最有效的方法是显微注射法；将目的基因导入微生物细胞的方法是感受态细胞法；（4）目的基因的检测与鉴定：分子水平上的检测：①检测转基因生物染色体的DNA是否插入目的基因-DNA分子杂交技术②检测目的基因是否转录出了mRNA-分子杂交技术；③检测目的基因是否翻译成蛋白质：抗原-抗体杂交技术；个体水平上的鉴定：抗虫鉴定、抗病鉴定、活性鉴定等。
【小问1详解】
重组乙肝疫苗的成分是乙肝病毒表面的一种病毒蛋白。蛋白质注入人体后，无法完成病毒遗传物质的复制与蛋白质的合成，无法独立增殖。
【小问2详解】
抗生素抗性基因作为标记基因，用于转化细胞的筛选。
RNA聚合酶结合目的基因启动子并驱动转录。
【小问3详解】
检测的对象是目的基因是否插入染色体中，故提取酵母细胞染色体进行目的基因鉴定。
基因探针是一段带有检测标记，且顺序已知的，与目的基因互补的核酸序列。
【小问4详解】
要检测出目的基因是否表达，除了需要检测目的基因是否插入染色体外，还需要检查目的基因是否转录与表达。检测是否转录，用核酸分子杂交技术，检测是否翻译用抗原-抗体杂交技术。</x:v>
      </x:c>
      <x:c r="K25" s="50" t="n">
        <x:v>0</x:v>
      </x:c>
      <x:c r="L25" s="50" t="n">
        <x:v>0</x:v>
      </x:c>
      <x:c r="M25" s="50" t="str">
        <x:v>生物技术实践</x:v>
      </x:c>
      <x:c r="N25" s="42" t="str">
        <x:v>生物技术实践&gt;基因工程&gt;重组疫苗与分子检测</x:v>
      </x:c>
      <x:c r="O25" s="50" t="str">
        <x:v>hard</x:v>
      </x:c>
      <x:c r="P25" s="42" t="str">
        <x:v>需要综合多个条件，围绕重组疫苗与分子检测进行多环节推理、定量计算或实验分析。</x:v>
      </x:c>
      <x:c r="Q25" s="50" t="str">
        <x:v>待审核</x:v>
      </x:c>
      <x:c r="R25" s="50" t="str">
        <x:v>待审核</x:v>
      </x:c>
      <x:c r="S25" s="43" t="str">
        <x:v>试题：E:\BISHE2026\题库\理综\2023年高考真题——理综（全国甲卷）Word版含解析.doc
答案解析：E:\BISHE2026\题库\理综\2023年高考真题——理综（全国甲卷）Word版含解析.doc</x:v>
      </x:c>
    </x:row>
    <x:row r="26" ht="72" customHeight="1">
      <x:c r="A26" s="49" t="str">
        <x:v>生物</x:v>
      </x:c>
      <x:c r="B26" s="50" t="n">
        <x:v>2024</x:v>
      </x:c>
      <x:c r="C26" s="50" t="str">
        <x:v>全国</x:v>
      </x:c>
      <x:c r="D26" s="50" t="str">
        <x:v>2024年高考真题——理综（新课标卷）</x:v>
      </x:c>
      <x:c r="E26" s="50" t="str">
        <x:v>1</x:v>
      </x:c>
      <x:c r="F26" s="50" t="str">
        <x:v>单选题</x:v>
      </x:c>
      <x:c r="G26" s="42" t="str">
        <x:v>大豆是我国重要的粮食作物。下列叙述错误的是（ ）</x:v>
      </x:c>
      <x:c r="H26" s="42" t="str">
        <x:v>A. 大豆油含有不饱和脂肪酸，熔点较低，室温时呈液态
B. 大豆的蛋白质、脂肪和淀粉可在人体内分解产生能量
C. 大豆中的蛋白质含有人体细胞不能合成的必需氨基酸
D. 大豆中的脂肪和磷脂均含有碳、氢、氧、磷4种元素</x:v>
      </x:c>
      <x:c r="I26" s="42" t="str">
        <x:v>D</x:v>
      </x:c>
      <x:c r="J26" s="42" t="str">
        <x:v>【分析】1、脂肪：是由三分子脂肪酸与一分子甘油发生反应而形成的。
2、磷脂：构成膜（细胞膜、核膜、细胞器膜）结构的重要成分。
3、固醇：维持新陈代谢和生殖起重要调节作用，分为胆固醇、性激素、维生素D等。
【详解】A、植物脂肪大多含有不饱和脂肪酸，在室温下呈液态，动物脂肪大多含有饱和脂肪酸，在室温下呈固态，A正确；
B、蛋白质、脂肪和淀粉可在人体内分解产生能量，B正确；
C、必需氨基酸是人体细胞不能合成必须从外界获取的氨基酸，因此大豆中的蛋白质含有人体细胞不能合成的必需氨基酸，C正确；
D、脂肪的组成元素只有C、H、O，D错误。
故选D。</x:v>
      </x:c>
      <x:c r="K26" s="50" t="n">
        <x:v>0</x:v>
      </x:c>
      <x:c r="L26" s="50" t="n">
        <x:v>0</x:v>
      </x:c>
      <x:c r="M26" s="50" t="str">
        <x:v>分子与细胞</x:v>
      </x:c>
      <x:c r="N26" s="42" t="str">
        <x:v>分子与细胞&gt;细胞代谢&gt;大豆中的物质与能量</x:v>
      </x:c>
      <x:c r="O26" s="50" t="str">
        <x:v>easy</x:v>
      </x:c>
      <x:c r="P26" s="42" t="str">
        <x:v>考查大豆中的物质与能量的直接识记或单步判断，条件明确，运算与推理量较小。</x:v>
      </x:c>
      <x:c r="Q26" s="50" t="str">
        <x:v>待审核</x:v>
      </x:c>
      <x:c r="R26" s="50" t="str">
        <x:v>待审核</x:v>
      </x:c>
      <x:c r="S26" s="43" t="str">
        <x:v>试题：E:\BISHE2026\题库\理综\新增\2024年高考新课标理综真题（解析版）.docx
答案解析：E:\BISHE2026\题库\理综\新增\2024年高考新课标理综真题（解析版）.docx</x:v>
      </x:c>
    </x:row>
    <x:row r="27" ht="72" customHeight="1">
      <x:c r="A27" s="49" t="str">
        <x:v>生物</x:v>
      </x:c>
      <x:c r="B27" s="50" t="n">
        <x:v>2024</x:v>
      </x:c>
      <x:c r="C27" s="50" t="str">
        <x:v>全国</x:v>
      </x:c>
      <x:c r="D27" s="50" t="str">
        <x:v>2024年高考真题——理综（新课标卷）</x:v>
      </x:c>
      <x:c r="E27" s="50" t="str">
        <x:v>2</x:v>
      </x:c>
      <x:c r="F27" s="50" t="str">
        <x:v>单选题</x:v>
      </x:c>
      <x:c r="G27" s="42" t="str">
        <x:v>干旱缺水条件下，植物可通过减小气孔开度减少水分散失。下列叙述错误的是（ ）</x:v>
      </x:c>
      <x:c r="H27" s="42" t="str">
        <x:v>A. 叶片萎蔫时叶片中脱落酸的含量会降低
B. 干旱缺水时进入叶肉细胞的〔公式对象 F004〕会减少
C. 植物细胞失水时胞内结合水与自由水比值增大
D. 干旱缺水不利于植物对营养物质的吸收和运输</x:v>
      </x:c>
      <x:c r="I27" s="42" t="str">
        <x:v>A</x:v>
      </x:c>
      <x:c r="J27" s="42" t="str">
        <x:v>【分析】干旱缺水条件下气孔开度减小，植物吸收的二氧化碳会减少，植物的光合速率会降低，同时植物体内水分含量减少，各种需要水分参与的生理反应都会减弱，植物根细胞的吸水能力增强，植物缺水主要是自由水大量失去。
【详解】A、叶片萎蔫时，叶片中的脱落酸(ABA)含量会增加，达到一定程度叶片可能会脱落，A错误；
B、干旱缺水时，植物气孔开度减小，吸收的二氧化碳会减少，植物的光合速率会降低，B正确；
C、植物细胞失水时主要失去自由水，自由水含量下降，结合水与自由水比值会增大，C正确；
D、缺水会影响植物体内各种需要水分参与的生理反应，植物对营养物质的吸收和运输往往需要水分参与，缺水不利于该过程，D正确。
故选A。</x:v>
      </x:c>
      <x:c r="K27" s="50" t="n">
        <x:v>1</x:v>
      </x:c>
      <x:c r="L27" s="50" t="n">
        <x:v>0</x:v>
      </x:c>
      <x:c r="M27" s="50" t="str">
        <x:v>稳态与环境</x:v>
      </x:c>
      <x:c r="N27" s="42" t="str">
        <x:v>稳态与环境&gt;植物生命活动调节&gt;气孔与水分代谢</x:v>
      </x:c>
      <x:c r="O27" s="50" t="str">
        <x:v>medium</x:v>
      </x:c>
      <x:c r="P27" s="42" t="str">
        <x:v>需要提取题干或图表信息，并结合气孔与水分代谢完成两步左右的判断或计算。</x:v>
      </x:c>
      <x:c r="Q27" s="50" t="str">
        <x:v>待审核</x:v>
      </x:c>
      <x:c r="R27" s="50" t="str">
        <x:v>待审核</x:v>
      </x:c>
      <x:c r="S27" s="43" t="str">
        <x:v>试题：E:\BISHE2026\题库\理综\新增\2024年高考新课标理综真题（解析版）.docx
答案解析：E:\BISHE2026\题库\理综\新增\2024年高考新课标理综真题（解析版）.docx</x:v>
      </x:c>
    </x:row>
    <x:row r="28" ht="72" customHeight="1">
      <x:c r="A28" s="49" t="str">
        <x:v>生物</x:v>
      </x:c>
      <x:c r="B28" s="50" t="n">
        <x:v>2024</x:v>
      </x:c>
      <x:c r="C28" s="50" t="str">
        <x:v>全国</x:v>
      </x:c>
      <x:c r="D28" s="50" t="str">
        <x:v>2024年高考真题——理综（新课标卷）</x:v>
      </x:c>
      <x:c r="E28" s="50" t="str">
        <x:v>3</x:v>
      </x:c>
      <x:c r="F28" s="50" t="str">
        <x:v>单选题</x:v>
      </x:c>
      <x:c r="G28" s="42" t="str">
        <x:v>人体消化道内食物的消化和吸收过程受神经和体液调节。下列叙述错误的是（ ）</x:v>
      </x:c>
      <x:c r="H28" s="42" t="str">
        <x:v>A. 进食后若副交感神经活动增强可抑制消化液分泌
B. 唾液分泌条件反射的建立需以非条件反射为基础
C. 胃液中的盐酸能为胃蛋白酶提供适宜的pH环境
D. 小肠上皮细胞通过转运蛋白吸收肠腔中的氨基酸</x:v>
      </x:c>
      <x:c r="I28" s="42" t="str">
        <x:v>A</x:v>
      </x:c>
      <x:c r="J28" s="42" t="str">
        <x:v>【分析】自主神经系统：自主神经系统由交感神经和副交感神经两部分组成。它们的作用通常是相反的。当人体处于兴奋状态时，交感神经活动占据优势，心跳加快，支气管扩张，但胃肠的蠕动和消化腺的分泌活动减弱；当人处于安静状态时，副交感神经活动占据优势，此时，心跳减慢，但胃肠的蠕动和消化液的分泌会加强，有利于食物的消化和营养物质的吸收。
【详解】A、副交感神经活动增强，促进胃肠的蠕动和消化液的分泌，有利于食物的消化和营养物质的吸收，A错误；
B、条件反射是在非条件反射的基础上，通过学习和训练而建立的。即唾液分泌条件反射的建立需以非条件反射为基础，B正确；
C、胃蛋白酶的最适pH为1.5，胃液中的盐酸能为胃蛋白酶提供适宜的pH环境，C正确；
D、小肠上皮细胞吸收氨基酸的方式通常为主动运输，过程中需要转运蛋白，D正确。
故选A。</x:v>
      </x:c>
      <x:c r="K28" s="50" t="n">
        <x:v>0</x:v>
      </x:c>
      <x:c r="L28" s="50" t="n">
        <x:v>0</x:v>
      </x:c>
      <x:c r="M28" s="50" t="str">
        <x:v>稳态与环境</x:v>
      </x:c>
      <x:c r="N28" s="42" t="str">
        <x:v>稳态与环境&gt;动物生命活动调节&gt;消化吸收的神经—体液调节</x:v>
      </x:c>
      <x:c r="O28" s="50" t="str">
        <x:v>medium</x:v>
      </x:c>
      <x:c r="P28" s="42" t="str">
        <x:v>需要提取题干或图表信息，并结合消化吸收的神经—体液调节完成两步左右的判断或计算。</x:v>
      </x:c>
      <x:c r="Q28" s="50" t="str">
        <x:v>待审核</x:v>
      </x:c>
      <x:c r="R28" s="50" t="str">
        <x:v>待审核</x:v>
      </x:c>
      <x:c r="S28" s="43" t="str">
        <x:v>试题：E:\BISHE2026\题库\理综\新增\2024年高考新课标理综真题（解析版）.docx
答案解析：E:\BISHE2026\题库\理综\新增\2024年高考新课标理综真题（解析版）.docx</x:v>
      </x:c>
    </x:row>
    <x:row r="29" ht="72" customHeight="1">
      <x:c r="A29" s="49" t="str">
        <x:v>生物</x:v>
      </x:c>
      <x:c r="B29" s="50" t="n">
        <x:v>2024</x:v>
      </x:c>
      <x:c r="C29" s="50" t="str">
        <x:v>全国</x:v>
      </x:c>
      <x:c r="D29" s="50" t="str">
        <x:v>2024年高考真题——理综（新课标卷）</x:v>
      </x:c>
      <x:c r="E29" s="50" t="str">
        <x:v>4</x:v>
      </x:c>
      <x:c r="F29" s="50" t="str">
        <x:v>单选题</x:v>
      </x:c>
      <x:c r="G29" s="42" t="str">
        <x:v>采用稻田养蟹的生态农业模式既可提高水稻产量又可收获螃蟹。下列叙述错误的是（ ）</x:v>
      </x:c>
      <x:c r="H29" s="42" t="str">
        <x:v>A. 该模式中水稻属于第一营养级
B. 该模式中水稻和螃蟹处于相同生态位
C. 该模式可促进水稻对二氧化碳的吸收
D. 该模式中碳循环在无机环境和生物间进行</x:v>
      </x:c>
      <x:c r="I29" s="42" t="str">
        <x:v>B</x:v>
      </x:c>
      <x:c r="J29" s="42" t="str">
        <x:v>【分析】稻田养蟹的模式中蟹能清除稻田杂草，吃掉部分害虫，其排泄物还能改善稻田土壤状况，促进水稻生长，提高水稻的品质;水稻则为蟹生长提供了丰富的天然饵料和良好的栖息环境。“稻蟹共生”为充分利用人工新建的农田生态系统。
【详解】A、在稻田养蟹的生态农业模式中，水稻属于生产者，属于第一营养级，A正确；
B、这个模式中，水稻和螃蟹处于不同的生态位，因为它们消耗不同的资源。水稻是水生植物，吸收水分和矿物质，而螃蟹是水生动物，以植物残渣和小型水生动物为食，B错误；
C、这种模式确实可以促进水稻对二氧化碳的吸收，因为螃蟹在稻田中活动可以改善土壤通气状况，有利于水稻根系呼吸作用，进而促进二氧化碳的吸收，C正确；
D、碳循环在稻田生态系统中包括无机环境和生物两个部分。水稻通过光合作用将无机碳（二氧化碳）转化为有机物，螃蟹则通过呼吸作用将有机物中的碳以二氧化碳的形式释放回大气中，从而完成了碳在生态系统中的循环，D正确。
故选B。</x:v>
      </x:c>
      <x:c r="K29" s="50" t="n">
        <x:v>0</x:v>
      </x:c>
      <x:c r="L29" s="50" t="n">
        <x:v>0</x:v>
      </x:c>
      <x:c r="M29" s="50" t="str">
        <x:v>稳态与环境</x:v>
      </x:c>
      <x:c r="N29" s="42" t="str">
        <x:v>稳态与环境&gt;生态系统&gt;生态农业</x:v>
      </x:c>
      <x:c r="O29" s="50" t="str">
        <x:v>easy</x:v>
      </x:c>
      <x:c r="P29" s="42" t="str">
        <x:v>考查生态农业的直接识记或单步判断，条件明确，运算与推理量较小。</x:v>
      </x:c>
      <x:c r="Q29" s="50" t="str">
        <x:v>待审核</x:v>
      </x:c>
      <x:c r="R29" s="50" t="str">
        <x:v>待审核</x:v>
      </x:c>
      <x:c r="S29" s="43" t="str">
        <x:v>试题：E:\BISHE2026\题库\理综\新增\2024年高考新课标理综真题（解析版）.docx
答案解析：E:\BISHE2026\题库\理综\新增\2024年高考新课标理综真题（解析版）.docx</x:v>
      </x:c>
    </x:row>
    <x:row r="30" ht="72" customHeight="1">
      <x:c r="A30" s="49" t="str">
        <x:v>生物</x:v>
      </x:c>
      <x:c r="B30" s="50" t="n">
        <x:v>2024</x:v>
      </x:c>
      <x:c r="C30" s="50" t="str">
        <x:v>全国</x:v>
      </x:c>
      <x:c r="D30" s="50" t="str">
        <x:v>2024年高考真题——理综（新课标卷）</x:v>
      </x:c>
      <x:c r="E30" s="50" t="str">
        <x:v>5</x:v>
      </x:c>
      <x:c r="F30" s="50" t="str">
        <x:v>单选题</x:v>
      </x:c>
      <x:c r="G30" s="42" t="str">
        <x:v>某种二倍体植物的P₁和P₂植株杂交得F₁，F₁自交得F₂。对个体的DNA进行PCR检测，产物的电泳结果如图所示，其中①～⑧为部分F₂个体，上部2条带是一对等位基因的扩增产物，下部2条带是另一对等位基因的扩增产物，这2对等位基因位于非同源染色体上。下列叙述错误的是（ ）
〔图片对象 I006〕</x:v>
      </x:c>
      <x:c r="H30" s="42" t="str">
        <x:v>A. ①②个体均为杂合体，F₂中③所占的比例大于⑤
B. 还有一种F₂个体的PCR产物电泳结果有3条带
C. ③和⑦杂交子代的PCR产物电泳结果与②⑧电泳结果相同
D. ①自交子代的PCR产物电泳结果与④电泳结果相同的占〔公式对象 F008〕</x:v>
      </x:c>
      <x:c r="I30" s="42" t="str">
        <x:v>D</x:v>
      </x:c>
      <x:c r="J30" s="42" t="str">
        <x:v>【分析】基因自由组合定律的实质是：位于非同源染色体上的非等位基因的分离或自由组合是互不干扰的；在减数分裂过程中，同源染色体上的等位基因彼此分离的同时，非同源染色体上的非等位基因自由组合。
【详解】A、由题可知，这2对等位基因位于非同源染色体上，假设A/a为上部两条带的等位基因，B/b为下部两条带的等位基因，由电泳图可知P₁为AAbb，P₂为aaBB，F₁为AaBb，F₂中①AaBB②Aabb都为杂合子，③AABb占F₂的比例为〔公式对象 F009〕，⑤AABB占F₂的比例为〔公式对象 F010〕，A正确；
B、电泳图中的F₂的基因型依次为：AaBB、Aabb、AABb、aaBB、AABB、AAbb、aabb、AaBb，未出现的基因型为aaBb，其个体PCR产物电泳结果有3条带，B正确；
C、③AABb和⑦aabb杂交后代为Aabb、 AaBb，其PCR产物电泳结果与②⑧电泳结果相同，C正确；
D、①AaBB自交子代为，AABB（〔公式对象 F011〕）、AaBB（〔公式对象 F012〕）、aaBB（〔公式对象 F013〕），其PCR产物电泳结果与④aaBB电泳结果相同的占〔公式对象 F014〕，D错误。
故选D。</x:v>
      </x:c>
      <x:c r="K30" s="50" t="n">
        <x:v>2</x:v>
      </x:c>
      <x:c r="L30" s="50" t="n">
        <x:v>6</x:v>
      </x:c>
      <x:c r="M30" s="50" t="str">
        <x:v>遗传与进化</x:v>
      </x:c>
      <x:c r="N30" s="42" t="str">
        <x:v>遗传与进化&gt;遗传规律&gt;PCR电泳与自由组合</x:v>
      </x:c>
      <x:c r="O30" s="50" t="str">
        <x:v>hard</x:v>
      </x:c>
      <x:c r="P30" s="42" t="str">
        <x:v>需要综合多个条件，围绕PCR电泳与自由组合进行多环节推理、定量计算或实验分析。</x:v>
      </x:c>
      <x:c r="Q30" s="50" t="str">
        <x:v>待审核</x:v>
      </x:c>
      <x:c r="R30" s="50" t="str">
        <x:v>待审核</x:v>
      </x:c>
      <x:c r="S30" s="43" t="str">
        <x:v>试题：E:\BISHE2026\题库\理综\新增\2024年高考新课标理综真题（解析版）.docx
答案解析：E:\BISHE2026\题库\理综\新增\2024年高考新课标理综真题（解析版）.docx</x:v>
      </x:c>
    </x:row>
    <x:row r="31" ht="72" customHeight="1">
      <x:c r="A31" s="49" t="str">
        <x:v>生物</x:v>
      </x:c>
      <x:c r="B31" s="50" t="n">
        <x:v>2024</x:v>
      </x:c>
      <x:c r="C31" s="50" t="str">
        <x:v>全国</x:v>
      </x:c>
      <x:c r="D31" s="50" t="str">
        <x:v>2024年高考真题——理综（新课标卷）</x:v>
      </x:c>
      <x:c r="E31" s="50" t="str">
        <x:v>6</x:v>
      </x:c>
      <x:c r="F31" s="50" t="str">
        <x:v>单选题</x:v>
      </x:c>
      <x:c r="G31" s="42" t="str">
        <x:v>用一定量的液体培养基培养某种细菌，活细菌数随时间的变化趋势如图所示，其中Ⅰ～Ⅳ表示细菌种群增长的4个时期。下列叙述错误的是（ ）
〔图片对象 I015〕</x:v>
      </x:c>
      <x:c r="H31" s="42" t="str">
        <x:v>A. 培养基中的细菌不能通过有丝分裂进行增殖
B. Ⅱ期细菌数量增长快，存在“J”形增长阶段
C. Ⅲ期细菌没有增殖和死亡，总数保持相对稳定
D. Ⅳ期细菌数量下降的主要原因有营养物质匮乏</x:v>
      </x:c>
      <x:c r="I31" s="42" t="str">
        <x:v>C</x:v>
      </x:c>
      <x:c r="J31" s="42" t="str">
        <x:v>【分析】分析题图：细菌种群增长开始时呈现S曲线，达到K值后，由于营养物质消耗、代谢产物积累，种群数量逐渐下降。
【详解】A、有丝分裂是真核细胞的增殖方式，细菌是原核细胞，进行二分裂，所以培养基中的细菌不能通过有丝分裂进行增殖，A正确；
B、Ⅱ期由于资源充足，细菌经过一段的调整适应，种群增长可能会短暂出现“J”形的增长，B正确；
C、Ⅲ期细菌的增殖速率和死亡速率基本相等，总数保持相对稳定，C错误；
D、Ⅳ期培养基中营养物质含量减少和代谢产物积累，细菌种群数量会下降，D正确。
故选C。</x:v>
      </x:c>
      <x:c r="K31" s="50" t="n">
        <x:v>1</x:v>
      </x:c>
      <x:c r="L31" s="50" t="n">
        <x:v>0</x:v>
      </x:c>
      <x:c r="M31" s="50" t="str">
        <x:v>生物技术实践</x:v>
      </x:c>
      <x:c r="N31" s="42" t="str">
        <x:v>生物技术实践&gt;微生物培养&gt;细菌种群增长曲线</x:v>
      </x:c>
      <x:c r="O31" s="50" t="str">
        <x:v>medium</x:v>
      </x:c>
      <x:c r="P31" s="42" t="str">
        <x:v>需要提取题干或图表信息，并结合细菌种群增长曲线完成两步左右的判断或计算。</x:v>
      </x:c>
      <x:c r="Q31" s="50" t="str">
        <x:v>待审核</x:v>
      </x:c>
      <x:c r="R31" s="50" t="str">
        <x:v>待审核</x:v>
      </x:c>
      <x:c r="S31" s="43" t="str">
        <x:v>试题：E:\BISHE2026\题库\理综\新增\2024年高考新课标理综真题（解析版）.docx
答案解析：E:\BISHE2026\题库\理综\新增\2024年高考新课标理综真题（解析版）.docx</x:v>
      </x:c>
    </x:row>
    <x:row r="32" ht="72" customHeight="1">
      <x:c r="A32" s="49" t="str">
        <x:v>生物</x:v>
      </x:c>
      <x:c r="B32" s="50" t="n">
        <x:v>2024</x:v>
      </x:c>
      <x:c r="C32" s="50" t="str">
        <x:v>全国</x:v>
      </x:c>
      <x:c r="D32" s="50" t="str">
        <x:v>2024年高考真题——理综（新课标卷）</x:v>
      </x:c>
      <x:c r="E32" s="50" t="str">
        <x:v>31</x:v>
      </x:c>
      <x:c r="F32" s="50" t="str">
        <x:v>解答题</x:v>
      </x:c>
      <x:c r="G32" s="42" t="str">
        <x:v>某同学将一种高等植物幼苗分为4组（a、b、c、d），分别置于密闭装置中照光培养，a、b、c、d组的光照强度依次增大，实验过程中温度保持恒定。一段时间（t）后测定装置内O₂浓度，结果如图所示，其中M为初始O₂浓度，c、d组O₂浓度相同。回答下列问题。
〔图片对象 I459〕
（1）太阳光中的可见光由不同颜色的光组成，其中高等植物光合作用利用的光主要是________，原因是________。
（2）光照t时间时，a组CO₂浓度________（填“大于”“小于”或“等于”）b组。
（3）若延长光照时间c、d组O₂浓度不再增加，则光照t时间时a、b、c中光合速率最大的是________组，判断依据是________。
（4）光照t时间后，将d组密闭装置打开，并以c组光照强度继续照光，其幼苗光合速率会________（填“升高”“降低”或“不变”）。</x:v>
      </x:c>
      <x:c r="H32" s="42" t="str"/>
      <x:c r="I32" s="42" t="str">
        <x:v>（1） ①. 红光和蓝紫光 ②. 光合色素可分为叶绿素和类胡萝卜素，叶绿素主要吸收红光和蓝紫光，类胡萝卜素主要吸收蓝紫光
（2）大于 （3） ①. c ②. 延长光照时间c、d组O₂浓度不再增加，说明c组的光照强度已达到了光饱和点，光合速率达到最大值
（4）升高</x:v>
      </x:c>
      <x:c r="J32" s="42" t="str">
        <x:v>【分析】1、光合作用的过程：
（1）光反应阶段：①场所：类囊体薄膜；②物质变化：水的光解、ATP的合成；③能量变化：光能→ATP、NADPH中的化学能。
（1）暗反应阶段：①场所：叶绿体基质；②物质变化：CO₂的固定、C₃的还原；③能量变化：ATP、NADPH中的化学能舰艇有机物中稳定的化学能。
2、分析题干：将植株置于密闭容器中并给予光照，植株会进行光合作用和呼吸作用，瓶内O₂浓度的变化可表示净光合速率。a、b、c、d组的光照强度依次增大，但c、d组O₂浓度相同，说明c点的光照强度为光饱和点。
【小问1详解】
光合色素可分为叶绿素和类胡萝卜两大类，叶绿素主要吸收红光和蓝紫光，类胡萝卜素主要吸收蓝紫光，属于可见光。
【小问2详解】
植物会进行光合作用和呼吸作用，光合作用消耗CO₂产生O₂，呼吸作用消耗O₂产生CO₂。分析图可知，光照t时间时，a组中的O₂浓度少于b组，说明b组产生的O₂更多，光合速率更大，消耗的CO₂更多，即a组CO₂浓度大于b组。
【小问3详解】
再延长光照时常，c和d组氧气的浓度不再增加，说明此时受CO₂的影响，光合速率等于呼吸速率，由于温度保持恒定，所以a、b、c三组的呼吸速率都是一样的，ac两组的光合速率都等于呼吸速率，说明a、c两组的光合速率都相等且都等于呼吸速率，而b组的由于光照较弱，消耗的CO₂较少，所以t时光合速率仍然大于呼吸速率。
【小问4详解】
光照t时间后，c、d组O₂浓度相同，即c、d组光合速率不再变化，c组的光照强度为光饱和点。将d组密闭装置打开，会增加CO₂浓度，并以c组光照强度继续照光，其幼苗光合速率会升高。</x:v>
      </x:c>
      <x:c r="K32" s="50" t="n">
        <x:v>1</x:v>
      </x:c>
      <x:c r="L32" s="50" t="n">
        <x:v>0</x:v>
      </x:c>
      <x:c r="M32" s="50" t="str">
        <x:v>实验与探究</x:v>
      </x:c>
      <x:c r="N32" s="42" t="str">
        <x:v>实验与探究&gt;植物生理实验&gt;光合作用影响因素</x:v>
      </x:c>
      <x:c r="O32" s="50" t="str">
        <x:v>hard</x:v>
      </x:c>
      <x:c r="P32" s="42" t="str">
        <x:v>需要综合多个条件，围绕光合作用影响因素进行多环节推理、定量计算或实验分析。</x:v>
      </x:c>
      <x:c r="Q32" s="50" t="str">
        <x:v>待审核</x:v>
      </x:c>
      <x:c r="R32" s="50" t="str">
        <x:v>待审核</x:v>
      </x:c>
      <x:c r="S32" s="43" t="str">
        <x:v>试题：E:\BISHE2026\题库\理综\新增\2024年高考新课标理综真题（解析版）.docx
答案解析：E:\BISHE2026\题库\理综\新增\2024年高考新课标理综真题（解析版）.docx</x:v>
      </x:c>
    </x:row>
    <x:row r="33" ht="72" customHeight="1">
      <x:c r="A33" s="49" t="str">
        <x:v>生物</x:v>
      </x:c>
      <x:c r="B33" s="50" t="n">
        <x:v>2024</x:v>
      </x:c>
      <x:c r="C33" s="50" t="str">
        <x:v>全国</x:v>
      </x:c>
      <x:c r="D33" s="50" t="str">
        <x:v>2024年高考真题——理综（新课标卷）</x:v>
      </x:c>
      <x:c r="E33" s="50" t="str">
        <x:v>32</x:v>
      </x:c>
      <x:c r="F33" s="50" t="str">
        <x:v>解答题</x:v>
      </x:c>
      <x:c r="G33" s="42" t="str">
        <x:v>机体感染人类免疫缺陷病毒（HIV）可导致艾滋病。回答下列问题。
（1）感染病毒的细胞可发生细胞凋亡。细胞凋亡被认为是一种程序性死亡的理由是________。
（2）HIV会感染辅助性T细胞导致细胞凋亡，使机体抵抗病原体、肿瘤的特异性免疫力下降，特异性免疫力下降的原因是________。
（3）设计实验验证某血液样品中有HIV，简要写出实验思路和预期结果。
（4）接种疫苗是预防传染病的一种有效措施。接种疫苗在免疫应答方面的优点是________（答出2点即可）。</x:v>
      </x:c>
      <x:c r="H33" s="42" t="str"/>
      <x:c r="I33" s="42" t="str">
        <x:v>（1）由基因控制的细胞自动结束生命的过程
（2）辅助性T细胞参与淋巴细胞的活化，分泌的细胞因子可促进淋巴细胞增殖分化，辅助性T细胞凋亡会影响淋巴细胞的活化与增殖
（3）实验思路一：利用抗HIV抗体，与血液样品进行抗原抗体杂交实验；预期结果：若出现杂交带，则证明血液样品中含有HIV；
实验思路二：使用PCR（聚合酶链反应）技术检测样品中的HIV核酸，产物经电泳与标准DNA进行比对；预期结果：PCR产物经电泳后出现特定条带，则证明血液样品中含有HIV
（4）在不使机体患病的条件下使机体产生免疫力；产生的免疫力针对特定病原体；产生的免疫力可保持一定时间</x:v>
      </x:c>
      <x:c r="J33" s="42" t="str">
        <x:v>【分析】人类免疫缺陷病毒（HIV）属于病毒，遗传物质为RNA。
【小问1详解】
细胞凋亡被认为是一种程序性死亡的理由是因为它是一种由基因控制的细胞自动结束生命的过程。这种过程对于生物体的发育和正常生理功能的维持是必需的。
【小问2详解】
辅助性T细胞在特异性免疫中会接受抗原呈递细胞的信号，并与B或T细胞结合，将信号传递给B或T细胞，诱导B或T细胞活化，同时产生细胞因子，促进B/T细胞的分裂分化过程，一旦辅助性T细胞受损，会导致体液免疫和细胞免疫都会减弱。（辅助性T细胞减少阻碍了浆细胞和细胞毒性T细胞的产生）。
【小问3详解】
验证某血液样品中是否存在HIV，可考虑抗原检测和核酸检测两条途径。实验思路一：利用抗HIV抗体，与血液样品进行抗原抗体杂交实验；预期结果：若出现杂交带，则证明血液样品中含有HIV；
实验思路二：使用PCR（聚合酶链反应）技术检测样品中的HIV核酸，产物经电泳与标准DNA进行比对；预期结果：PCR产物经电泳后出现特定条带，则证明血液样品中含有HIV。
【小问4详解】
疫苗作为抗原，在免疫应答方面，可以在不使机体患病的条件下使机体产生免疫力；产生的免疫力针对特定病原体；疫苗作用下可刺激机体产生抗体和记忆细胞，抗体和记忆细胞可在一定时间内留存，保持对病原体的免疫力。</x:v>
      </x:c>
      <x:c r="K33" s="50" t="n">
        <x:v>0</x:v>
      </x:c>
      <x:c r="L33" s="50" t="n">
        <x:v>0</x:v>
      </x:c>
      <x:c r="M33" s="50" t="str">
        <x:v>稳态与环境</x:v>
      </x:c>
      <x:c r="N33" s="42" t="str">
        <x:v>稳态与环境&gt;免疫调节&gt;HIV与特异性免疫</x:v>
      </x:c>
      <x:c r="O33" s="50" t="str">
        <x:v>hard</x:v>
      </x:c>
      <x:c r="P33" s="42" t="str">
        <x:v>需要综合多个条件，围绕HIV与特异性免疫进行多环节推理、定量计算或实验分析。</x:v>
      </x:c>
      <x:c r="Q33" s="50" t="str">
        <x:v>待审核</x:v>
      </x:c>
      <x:c r="R33" s="50" t="str">
        <x:v>待审核</x:v>
      </x:c>
      <x:c r="S33" s="43" t="str">
        <x:v>试题：E:\BISHE2026\题库\理综\新增\2024年高考新课标理综真题（解析版）.docx
答案解析：E:\BISHE2026\题库\理综\新增\2024年高考新课标理综真题（解析版）.docx</x:v>
      </x:c>
    </x:row>
    <x:row r="34" ht="72" customHeight="1">
      <x:c r="A34" s="49" t="str">
        <x:v>生物</x:v>
      </x:c>
      <x:c r="B34" s="50" t="n">
        <x:v>2024</x:v>
      </x:c>
      <x:c r="C34" s="50" t="str">
        <x:v>全国</x:v>
      </x:c>
      <x:c r="D34" s="50" t="str">
        <x:v>2024年高考真题——理综（新课标卷）</x:v>
      </x:c>
      <x:c r="E34" s="50" t="str">
        <x:v>33</x:v>
      </x:c>
      <x:c r="F34" s="50" t="str">
        <x:v>解答题</x:v>
      </x:c>
      <x:c r="G34" s="42" t="str">
        <x:v>厦门筼筜湖经生态治理后环境宜人，成为城市会客厅，是我国生态修复的典型案例。回答下列问题。
（1）湖泊水体的氮浓度是评价水质的指标之一，原因是______。
（2）湖区的红树林可提高固碳效率、净化水体。在湖区生态系统中，红树植物参与碳循环的主要途径有光合作用、呼吸作用，还有_______（答出2点即可）。
（3）湖区水质改善后鸟类的种类和数目增加。鸟类属于消费者，消费者在生态系统中的作用是_______（答出2点即可）。
（4）生态修复后湖区生态系统的生物多样性增加，保护生物多样性的意义是______。</x:v>
      </x:c>
      <x:c r="H34" s="42" t="str"/>
      <x:c r="I34" s="42" t="str">
        <x:v>（1）N元素是植物生长的必须元素，含量过多会使藻类等水生生物的生长过快，导致水体富营养化，从而引发水华等环境问题
（2）通过根系吸收土壤中的碳酸盐，在体内转变成有机碳；通过食物链和食物网的形式， 将制造的有机碳传入其他生物
（3）加快生态系统中的能量流动和物质循环；帮助植物传粉和传播种子
（4）生物多样性具有直接价值、间接价值和潜在价值。①直接价值是指对人类有食用、药用和工业原料等实用意义的，以及旅游观赏、科学研究和文艺价值；②间接价值是调节生态系统的功能，增加生态系统的稳定性等；③潜在价值，现在未被利用的一些生物，在将来可能会有一些未知的价值。</x:v>
      </x:c>
      <x:c r="J34" s="42" t="str">
        <x:v>【分析】1、生物多样性是人类社会赖以生存和发展的基础。我们的衣、食、住、行及物质文化生活的许多方面都与生物多样性的维持密切相关。（1）生物多样性为我们提供了食物、纤维、木材、药材和多种工业原料；（2）生物多样性还在保持土壤肥力、保证水质以及调节气候等方面发挥了重要作用；（3）生物多样性在大气层成分、地球表面温度、地表沉积层氧化还原电位以及pH值等方面的调控方面发挥着重要作用；（4）生物多样性的维持，将有益于一些珍稀濒危物种的保存；
2、生态系统是指在一定地域内生物与环境形成的统一的整体，生态系统的组成包括非生物部分和生物部分。非生物部分有阳光、空气、水、温度、土壤（泥沙）等；生物部分包括生产者（绿色植物）、消费者（动物）、分解者（细菌和真菌）。细菌和真菌会分解动植物遗体或动物的排泄物中取得有机物来生成无机物，供给植物进行光合作用．进入生态循环，真菌和细菌是在生态系统中扮演分解者。
【小问1详解】
氮元素是植物生长的必须元素，湖泊水体中含有超标的氮类物质时，会使藻类等水生生物的生长过快，导致水体富营养化，从而引发水华等环境问题，因此湖泊水体的氮浓度是评价水质的重要指标之一；
【小问2详解】
在湖区生态系统中，红树植物参与碳循环的主要途径有光合作用、呼吸作用，还有通过根系吸收土壤中的碳酸盐，在体内转变成有机碳；通过食物链和食物网的形式， 将制造的有机碳传入其他生物等；
【小问3详解】
鸟类属于消费者，消费者通过自身的新陈代谢，能将有机物转化为无机物 (CO₂、水、氨等)，这些无机物排出体外后又可以被生产者重新利用。因此消费者的存在，能够加快生态系统的 物质循环。此外，消费者对于植物的传粉和种子的传播等具有重要作用；
【小问4详解】
生物多样性具有直接价值、间接价值和潜在价值。①直接价值是指对人类有食用、药用和工业原料等实用意义的，以及旅游观赏、科学研究和文艺价值；②间接价值是调节生态系统的功能，增加生态系统的稳定性等；③潜在价值，现在未被利用的一些生物，在将来可能会有一些未知的价值。</x:v>
      </x:c>
      <x:c r="K34" s="50" t="n">
        <x:v>0</x:v>
      </x:c>
      <x:c r="L34" s="50" t="n">
        <x:v>0</x:v>
      </x:c>
      <x:c r="M34" s="50" t="str">
        <x:v>稳态与环境</x:v>
      </x:c>
      <x:c r="N34" s="42" t="str">
        <x:v>稳态与环境&gt;生态系统&gt;生态修复与生物多样性</x:v>
      </x:c>
      <x:c r="O34" s="50" t="str">
        <x:v>medium</x:v>
      </x:c>
      <x:c r="P34" s="42" t="str">
        <x:v>需要提取题干或图表信息，并结合生态修复与生物多样性完成两步左右的判断或计算。</x:v>
      </x:c>
      <x:c r="Q34" s="50" t="str">
        <x:v>待审核</x:v>
      </x:c>
      <x:c r="R34" s="50" t="str">
        <x:v>待审核</x:v>
      </x:c>
      <x:c r="S34" s="43" t="str">
        <x:v>试题：E:\BISHE2026\题库\理综\新增\2024年高考新课标理综真题（解析版）.docx
答案解析：E:\BISHE2026\题库\理综\新增\2024年高考新课标理综真题（解析版）.docx</x:v>
      </x:c>
    </x:row>
    <x:row r="35" ht="72" customHeight="1">
      <x:c r="A35" s="49" t="str">
        <x:v>生物</x:v>
      </x:c>
      <x:c r="B35" s="50" t="n">
        <x:v>2024</x:v>
      </x:c>
      <x:c r="C35" s="50" t="str">
        <x:v>全国</x:v>
      </x:c>
      <x:c r="D35" s="50" t="str">
        <x:v>2024年高考真题——理综（新课标卷）</x:v>
      </x:c>
      <x:c r="E35" s="50" t="str">
        <x:v>34</x:v>
      </x:c>
      <x:c r="F35" s="50" t="str">
        <x:v>解答题</x:v>
      </x:c>
      <x:c r="G35" s="42" t="str">
        <x:v>某种瓜的性型（雌性株/普通株）和瓜刺（黑刺/白刺）各由1对等位基因控制。雌性株开雌花，经人工诱雄处理可开雄花，能自交；普通株既开雌花又开雄花。回答下列问题。
（1）黑刺普通株和白刺雌性株杂交得〔公式对象 F462〕，根据〔公式对象 F463〕的性状不能判断瓜刺性状的显隐性，则〔公式对象 F464〕瓜刺的表现型及分离比是________。若要判断瓜刺的显隐性，从亲本或〔公式对象 F465〕中选择材料进行的实验及判断依据是_____。
（2）王同学将黑刺雌性株和白刺普通株杂交，〔公式对象 F466〕均为黑刺雌性株，〔公式对象 F467〕经诱雄处理后自交得〔公式对象 F468〕，能够验证“这2对等位基因不位于1对同源染色体上”这一结论的实验结果是________。
（3）白刺瓜受消费者青睐，雌性株的产量高。在王同学实验所得杂交子代中，筛选出白刺雌性株纯合体的杂交实验思路是________。</x:v>
      </x:c>
      <x:c r="H35" s="42" t="str"/>
      <x:c r="I35" s="42" t="str">
        <x:v>（1） ①. 黑刺：白刺=1:1 ②. 从亲本或F₁中选取表型相同的个体进行自交，若后代发生性状分离，则该个体性状为显性，不发生性状分离，则该性状为隐性
（2）F₂中的表型及比例为黑刺雌性株：黑刺普通株：白刺雌性株：白刺普通株=9:3:3:1。
（3）选择F₂中白刺雌性株分别与白刺普通株测交，若后代都为白刺雌性株，则该白刺雌性株为纯合体；若后代白刺雌性株：白刺普通株=1:1，则为白刺雌性株杂合体</x:v>
      </x:c>
      <x:c r="J35" s="42" t="str">
        <x:v>【分析】基因分离定律和自由组合定律的实质；进行有性生殖的生物在进行减数分裂产生配子的过程中，位于同源染色体上的等位基因随同源染色体分离而分离，分别进入不同的配子中，随配子独立遗传给后代，同时位于非同源染色体上的非等位基因进行自由组合。
【小问1详解】
黑刺普通株和白刺雌性株杂交得F₁，根据F₁的性状不能判断瓜刺性状的显隐性，说明F₁中性状有白刺也有黑刺，则亲本显性性状为杂合子，F₁瓜刺的表现型及分离比是黑刺：白刺=1:1。
若要判断瓜刺的显隐性，从亲本或F₁中选择材料进行的实验，即从亲本或F₁中选取表型相同的个体进行自交，若后代发生性状分离，则该个体性状为显性，不发生性状分离，则该性状为隐性。
【小问2详解】
黑刺雌性株和白刺普通株杂交，F₁均为黑刺雌性株，说明在瓜刺这对相对性状中黑刺为显性，在性别这对相对性状中雌性株为显性，若控制瓜刺的基因用A/a表示，控制性别的基因用B/b表示，则亲本基因型为AABB和aabb，F₁的基因型为AaBb，F₁经诱雄处理后自交得F₂ ，若这2对等位基因不位于1对同源染色体上，则瓜刺和性型的遗传遵循基因的自由组合定律，即F₂中的表型及比例为黑刺雌性株：黑刺普通株：白刺雌性株：白刺普通株=9:3:3:1。
【小问3详解】
在王同学实验所得杂交子代中，F₂中白刺雌性株的基因型为aaBB和aaBb，若想筛选出白刺雌性株纯合体，可选用测交实验，即选择F₂中白刺雌性株分别与白刺普通株基因型为aabb进行测交，若后代都为白刺雌性株（aaBb），则该白刺雌性株为纯合体，若后代白刺雌性株：白刺普通株=1:1，则为白刺雌性株杂合体。</x:v>
      </x:c>
      <x:c r="K35" s="50" t="n">
        <x:v>7</x:v>
      </x:c>
      <x:c r="L35" s="50" t="n">
        <x:v>0</x:v>
      </x:c>
      <x:c r="M35" s="50" t="str">
        <x:v>遗传与进化</x:v>
      </x:c>
      <x:c r="N35" s="42" t="str">
        <x:v>遗传与进化&gt;遗传规律&gt;两对相对性状与测交</x:v>
      </x:c>
      <x:c r="O35" s="50" t="str">
        <x:v>hard</x:v>
      </x:c>
      <x:c r="P35" s="42" t="str">
        <x:v>需要综合多个条件，围绕两对相对性状与测交进行多环节推理、定量计算或实验分析。</x:v>
      </x:c>
      <x:c r="Q35" s="50" t="str">
        <x:v>待审核</x:v>
      </x:c>
      <x:c r="R35" s="50" t="str">
        <x:v>待审核</x:v>
      </x:c>
      <x:c r="S35" s="43" t="str">
        <x:v>试题：E:\BISHE2026\题库\理综\新增\2024年高考新课标理综真题（解析版）.docx
答案解析：E:\BISHE2026\题库\理综\新增\2024年高考新课标理综真题（解析版）.docx</x:v>
      </x:c>
    </x:row>
    <x:row r="36" ht="72" customHeight="1">
      <x:c r="A36" s="51" t="str">
        <x:v>生物</x:v>
      </x:c>
      <x:c r="B36" s="52" t="n">
        <x:v>2024</x:v>
      </x:c>
      <x:c r="C36" s="52" t="str">
        <x:v>全国</x:v>
      </x:c>
      <x:c r="D36" s="52" t="str">
        <x:v>2024年高考真题——理综（新课标卷）</x:v>
      </x:c>
      <x:c r="E36" s="52" t="str">
        <x:v>35</x:v>
      </x:c>
      <x:c r="F36" s="52" t="str">
        <x:v>解答题</x:v>
      </x:c>
      <x:c r="G36" s="45" t="str">
        <x:v>某研究小组将纤维素酶基因（N）插入某种细菌（B₁）的基因组中，构建高效降解纤维素的菌株（B₂）。该小组在含有N基因的质粒中插入B₁基因组的M1与M2片段；再经限制酶切割获得含N基因的片段甲，片段甲两端分别为M1与M2；利用CRISPR/Cas9基因组编辑技术将片段甲插入B₁的基因组，得到菌株B₂。酶切位点（I～Ⅳ）、引物（P1～P4）的结合位置、片段甲替换区如图所示，→表示引物5'→3'方向。回答下列问题。
〔图片对象 I469〕
（1）限制酶切割的化学键是________。为保证N基因能在菌株B2中表达，在构建片段甲时，应将M1与M2片段分别插入质粒的Ⅰ和Ⅱ、Ⅲ和Ⅳ酶切位点之间，原因是________。
（2）CRISPR/Cas9技术可以切割细菌B1基因组中与向导RNA结合的DNA。向导RNA与B₁基因组DNA互补配对可以形成的碱基对有G－C和________。
（3）用引物P1和P2进行PCR可验证片段甲插入了细菌B₁基因组，所用的模板是________；若用该模板与引物P3和P4进行PCR，实验结果是________。
（4）与秸秆焚烧相比，利用高效降解纤维素的细菌处理秸秆的优点是________（答出2点即可）。</x:v>
      </x:c>
      <x:c r="H36" s="45" t="str"/>
      <x:c r="I36" s="45" t="str">
        <x:v>（1） ①. 磷酸二酯键 ②. 不破坏N基因，且能保证N基因正常表达
（2）C-G、A-T、U-A
（3） ①. N基因的两条链 ②. 不能扩增出目的基因
（4）不污染环境、增加土壤养分</x:v>
      </x:c>
      <x:c r="J36" s="45" t="str">
        <x:v>【分析】PCR原理：在解旋酶作用下，打开DNA双链，每条DNA单链作为母链，以4种游离脱氧核苷酸为原料，合成子链，在引物作用下，DNA聚合酶从引物3'端开始延伸DNA链，即DNA的合成方向是从子链的5'端自3'端延伸的。实际上就是在体外模拟细胞内DNA的复制过程。DNA的复制需要引物，其主要原因是DNA聚合酶只能从3′端延伸DNA链。
PCR反应过程是：变性→复性→延伸。
【小问1详解】
限制酶切割的化学键为磷酸二酯键。在构建片段甲时，应将M1与M2片段分别插入质粒的Ⅰ和Ⅱ、Ⅲ和Ⅳ酶切位点之间，不破坏N基因，且能保证N基因正常发表达。
【小问2详解】
RNA的碱基组成有A、U、G、C，DNA的碱基组成为A、T、G、C，向导RNA与B1基因组DNA互补配对可以形成的碱基对有G-C和C-G、A-T、U-A。
【小问3详解】
用引物P1和P2进行PCR可扩增N基因，验证片段甲插入了细菌B1基因组，所用的模板是N基因的两条链；用该模板与引物P3和P4进行PCR，因为P3不能与N基因模板链结合，实验结果是不能扩增出DNA片段。
【小问4详解】
与秸秆焚烧相比，利用高效降解纤维素的细菌处理秸秆的优点是不污染环境、增加土壤养分。</x:v>
      </x:c>
      <x:c r="K36" s="52" t="n">
        <x:v>1</x:v>
      </x:c>
      <x:c r="L36" s="52" t="n">
        <x:v>0</x:v>
      </x:c>
      <x:c r="M36" s="52" t="str">
        <x:v>生物技术实践</x:v>
      </x:c>
      <x:c r="N36" s="45" t="str">
        <x:v>生物技术实践&gt;基因工程&gt;CRISPR与PCR验证</x:v>
      </x:c>
      <x:c r="O36" s="52" t="str">
        <x:v>hard</x:v>
      </x:c>
      <x:c r="P36" s="45" t="str">
        <x:v>需要综合多个条件，围绕CRISPR与PCR验证进行多环节推理、定量计算或实验分析。</x:v>
      </x:c>
      <x:c r="Q36" s="52" t="str">
        <x:v>待审核</x:v>
      </x:c>
      <x:c r="R36" s="52" t="str">
        <x:v>待审核</x:v>
      </x:c>
      <x:c r="S36" s="46" t="str">
        <x:v>试题：E:\BISHE2026\题库\理综\新增\2024年高考新课标理综真题（解析版）.docx
答案解析：E:\BISHE2026\题库\理综\新增\2024年高考新课标理综真题（解析版）.docx</x:v>
      </x:c>
    </x:row>
  </x:sheetData>
  <x:mergeCells>
    <x:mergeCell ref="A1:S1"/>
  </x:mergeCells>
  <x:dataValidations count="2">
    <x:dataValidation type="list" sqref="O3:O36">
      <x:formula1>"easy,medium,hard"</x:formula1>
    </x:dataValidation>
    <x:dataValidation type="list" sqref="Q3:R36">
      <x:formula1>"待审核,审核通过,退回修改"</x:formula1>
    </x:dataValidation>
  </x:dataValidations>
  <x:pageMargins left="0.7" right="0.7" top="0.75" bottom="0.75" header="0.3" footer="0.3"/>
  <x:tableParts count="1">
    <x:tablePart xmlns:r="http://schemas.openxmlformats.org/officeDocument/2006/relationships" r:id="Rcca00cbd682049d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5.630001068115234" hidden="0" customWidth="1"/>
    <x:col min="2" max="2" width="11.25" hidden="0" customWidth="1"/>
    <x:col min="3" max="3" width="23.1299991607666" hidden="0" customWidth="1"/>
  </x:cols>
  <x:sheetData>
    <x:row r="1" ht="28" customHeight="1">
      <x:c r="A1" s="55" t="str">
        <x:v>生物母题库检查表（知识点与难度标注版）质量统计</x:v>
      </x:c>
      <x:c r="B1" s="55"/>
      <x:c r="C1" s="55"/>
    </x:row>
    <x:row r="3">
      <x:c r="A3" s="60" t="str">
        <x:v>检查项</x:v>
      </x:c>
      <x:c r="B3" s="61" t="str">
        <x:v>结果</x:v>
      </x:c>
      <x:c r="C3" s="62" t="str">
        <x:v>说明</x:v>
      </x:c>
    </x:row>
    <x:row r="4">
      <x:c r="A4" s="81" t="str">
        <x:v>题目总数</x:v>
      </x:c>
      <x:c r="B4" s="93" t="n">
        <x:f>COUNTA('题目检查'!$E$3:$E$36)</x:f>
        <x:v>34</x:v>
      </x:c>
      <x:c r="C4" s="83" t="str">
        <x:v>按题号计数</x:v>
      </x:c>
    </x:row>
    <x:row r="5">
      <x:c r="A5" s="84" t="str">
        <x:v>2023新课标卷</x:v>
      </x:c>
      <x:c r="B5" s="94" t="n">
        <x:f>COUNTIF('题目检查'!$D$3:$D$36,"2023年高考真题——理综（新课标卷）")</x:f>
        <x:v>11</x:v>
      </x:c>
      <x:c r="C5" s="86" t="str">
        <x:v>题数</x:v>
      </x:c>
    </x:row>
    <x:row r="6">
      <x:c r="A6" s="84" t="str">
        <x:v>2023全国甲卷</x:v>
      </x:c>
      <x:c r="B6" s="94" t="n">
        <x:f>COUNTIF('题目检查'!$D$3:$D$36,"2023年高考真题——理综（全国甲卷）")</x:f>
        <x:v>12</x:v>
      </x:c>
      <x:c r="C6" s="86" t="str">
        <x:v>题数</x:v>
      </x:c>
    </x:row>
    <x:row r="7">
      <x:c r="A7" s="84" t="str">
        <x:v>2024新课标卷</x:v>
      </x:c>
      <x:c r="B7" s="94" t="n">
        <x:f>COUNTIF('题目检查'!$D$3:$D$36,"2024年高考真题——理综（新课标卷）")</x:f>
        <x:v>11</x:v>
      </x:c>
      <x:c r="C7" s="86" t="str">
        <x:v>题数</x:v>
      </x:c>
    </x:row>
    <x:row r="8">
      <x:c r="A8" s="84" t="str">
        <x:v>单选题</x:v>
      </x:c>
      <x:c r="B8" s="94" t="n">
        <x:f>COUNTIF('题目检查'!$F$3:$F$36,"单选题")</x:f>
        <x:v>18</x:v>
      </x:c>
      <x:c r="C8" s="86" t="str">
        <x:v>题数</x:v>
      </x:c>
    </x:row>
    <x:row r="9">
      <x:c r="A9" s="84" t="str">
        <x:v>解答题</x:v>
      </x:c>
      <x:c r="B9" s="94" t="n">
        <x:f>COUNTIF('题目检查'!$F$3:$F$36,"解答题")</x:f>
        <x:v>16</x:v>
      </x:c>
      <x:c r="C9" s="86" t="str">
        <x:v>题数</x:v>
      </x:c>
    </x:row>
    <x:row r="10">
      <x:c r="A10" s="84" t="str">
        <x:v>知识点：分子与细胞</x:v>
      </x:c>
      <x:c r="B10" s="94" t="n">
        <x:f>COUNTIF('题目检查'!$M$3:$M$36,"分子与细胞")</x:f>
        <x:v>4</x:v>
      </x:c>
      <x:c r="C10" s="86" t="str">
        <x:v>按首个知识点分类</x:v>
      </x:c>
    </x:row>
    <x:row r="11">
      <x:c r="A11" s="84" t="str">
        <x:v>知识点：实验与探究</x:v>
      </x:c>
      <x:c r="B11" s="94" t="n">
        <x:f>COUNTIF('题目检查'!$M$3:$M$36,"实验与探究")</x:f>
        <x:v>3</x:v>
      </x:c>
      <x:c r="C11" s="86" t="str">
        <x:v>按首个知识点分类</x:v>
      </x:c>
    </x:row>
    <x:row r="12">
      <x:c r="A12" s="84" t="str">
        <x:v>知识点：生物技术实践</x:v>
      </x:c>
      <x:c r="B12" s="94" t="n">
        <x:f>COUNTIF('题目检查'!$M$3:$M$36,"生物技术实践")</x:f>
        <x:v>6</x:v>
      </x:c>
      <x:c r="C12" s="86" t="str">
        <x:v>按首个知识点分类</x:v>
      </x:c>
    </x:row>
    <x:row r="13">
      <x:c r="A13" s="84" t="str">
        <x:v>知识点：稳态与环境</x:v>
      </x:c>
      <x:c r="B13" s="94" t="n">
        <x:f>COUNTIF('题目检查'!$M$3:$M$36,"稳态与环境")</x:f>
        <x:v>15</x:v>
      </x:c>
      <x:c r="C13" s="86" t="str">
        <x:v>按首个知识点分类</x:v>
      </x:c>
    </x:row>
    <x:row r="14">
      <x:c r="A14" s="84" t="str">
        <x:v>知识点：遗传与进化</x:v>
      </x:c>
      <x:c r="B14" s="94" t="n">
        <x:f>COUNTIF('题目检查'!$M$3:$M$36,"遗传与进化")</x:f>
        <x:v>6</x:v>
      </x:c>
      <x:c r="C14" s="86" t="str">
        <x:v>按首个知识点分类</x:v>
      </x:c>
    </x:row>
    <x:row r="15">
      <x:c r="A15" s="84" t="str">
        <x:v>难度：easy</x:v>
      </x:c>
      <x:c r="B15" s="94" t="n">
        <x:f>COUNTIF('题目检查'!$O$3:$O$36,"easy")</x:f>
        <x:v>8</x:v>
      </x:c>
      <x:c r="C15" s="86" t="str">
        <x:v>题数</x:v>
      </x:c>
    </x:row>
    <x:row r="16">
      <x:c r="A16" s="84" t="str">
        <x:v>难度：medium</x:v>
      </x:c>
      <x:c r="B16" s="94" t="n">
        <x:f>COUNTIF('题目检查'!$O$3:$O$36,"medium")</x:f>
        <x:v>12</x:v>
      </x:c>
      <x:c r="C16" s="86" t="str">
        <x:v>题数</x:v>
      </x:c>
    </x:row>
    <x:row r="17">
      <x:c r="A17" s="84" t="str">
        <x:v>难度：hard</x:v>
      </x:c>
      <x:c r="B17" s="94" t="n">
        <x:f>COUNTIF('题目检查'!$O$3:$O$36,"hard")</x:f>
        <x:v>14</x:v>
      </x:c>
      <x:c r="C17" s="86" t="str">
        <x:v>题数</x:v>
      </x:c>
    </x:row>
    <x:row r="18">
      <x:c r="A18" s="84" t="str">
        <x:v>知识点空值</x:v>
      </x:c>
      <x:c r="B18" s="94" t="n">
        <x:f>COUNTBLANK('题目检查'!$N$3:$N$36)</x:f>
        <x:v>0</x:v>
      </x:c>
      <x:c r="C18" s="86" t="str">
        <x:v>应为0</x:v>
      </x:c>
    </x:row>
    <x:row r="19">
      <x:c r="A19" s="84" t="str">
        <x:v>难度空值</x:v>
      </x:c>
      <x:c r="B19" s="94" t="n">
        <x:f>COUNTBLANK('题目检查'!$O$3:$O$36)</x:f>
        <x:v>0</x:v>
      </x:c>
      <x:c r="C19" s="86" t="str">
        <x:v>应为0</x:v>
      </x:c>
    </x:row>
    <x:row r="20">
      <x:c r="A20" s="84" t="str">
        <x:v>难度说明空值</x:v>
      </x:c>
      <x:c r="B20" s="94" t="n">
        <x:f>COUNTBLANK('题目检查'!$P$3:$P$36)</x:f>
        <x:v>0</x:v>
      </x:c>
      <x:c r="C20" s="86" t="str">
        <x:v>应为0</x:v>
      </x:c>
    </x:row>
    <x:row r="21">
      <x:c r="A21" s="84" t="str">
        <x:v>题干图片</x:v>
      </x:c>
      <x:c r="B21" s="94" t="n">
        <x:f>SUM('题目检查'!$K$3:$K$36)</x:f>
        <x:v>23</x:v>
      </x:c>
      <x:c r="C21" s="86" t="str">
        <x:v>图片记录数</x:v>
      </x:c>
    </x:row>
    <x:row r="22">
      <x:c r="A22" s="84" t="str">
        <x:v>解析图片</x:v>
      </x:c>
      <x:c r="B22" s="94" t="n">
        <x:f>SUM('题目检查'!$L$3:$L$36)</x:f>
        <x:v>6</x:v>
      </x:c>
      <x:c r="C22" s="86" t="str">
        <x:v>图片记录数</x:v>
      </x:c>
    </x:row>
    <x:row r="23">
      <x:c r="A23" s="87" t="str">
        <x:v>待审核</x:v>
      </x:c>
      <x:c r="B23" s="95" t="n">
        <x:f>COUNTIF('题目检查'!$R$3:$R$36,"待审核")</x:f>
        <x:v>34</x:v>
      </x:c>
      <x:c r="C23" s="89" t="str">
        <x:v>应等于题目总数</x:v>
      </x:c>
    </x:row>
  </x:sheetData>
  <x:mergeCells>
    <x:mergeCell ref="A1:C1"/>
  </x:mergeCells>
  <x:pageMargins left="0.7" right="0.7" top="0.75" bottom="0.75" header="0.3" footer="0.3"/>
  <x:tableParts count="1">
    <x:tablePart xmlns:r="http://schemas.openxmlformats.org/officeDocument/2006/relationships" r:id="Rfff4b097b3954687"/>
  </x:tableParts>
</x:worksheet>
</file>