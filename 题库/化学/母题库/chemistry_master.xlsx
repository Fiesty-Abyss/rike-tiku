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52824fa871f408a" /></Relationships>
</file>

<file path=xl/workbook.xml><?xml version="1.0" encoding="utf-8"?>
<x:workbook xmlns:x="http://schemas.openxmlformats.org/spreadsheetml/2006/main">
  <x:sheets>
    <x:sheet xmlns:r="http://schemas.openxmlformats.org/officeDocument/2006/relationships" name="题目检查" sheetId="1" r:id="R304b6e51faa44216"/>
    <x:sheet xmlns:r="http://schemas.openxmlformats.org/officeDocument/2006/relationships" name="质量统计" sheetId="2" r:id="Rcb44bef8497145e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b/>
      <x:sz val="10"/>
      <x:color rgb="FF375623"/>
      <x:name val="Carlito"/>
    </x:font>
    <x:font>
      <x:sz val="9"/>
      <x:name val="Carlito"/>
    </x:font>
    <x:font>
      <x:b/>
      <x:sz val="15"/>
      <x:color rgb="FFFFFFFF"/>
      <x:name val="Carlito"/>
    </x:font>
    <x:font>
      <x:b/>
      <x:sz val="11"/>
      <x:color rgb="FF375623"/>
      <x:name val="Carlito"/>
    </x:font>
  </x:fonts>
  <x:fills count="4">
    <x:fill>
      <x:patternFill patternType="none"/>
    </x:fill>
    <x:fill>
      <x:patternFill patternType="gray125"/>
    </x:fill>
    <x:fill>
      <x:patternFill patternType="solid">
        <x:fgColor rgb="FF375623"/>
      </x:patternFill>
    </x:fill>
    <x:fill>
      <x:patternFill patternType="solid">
        <x:fgColor rgb="FFE2F0D9"/>
      </x:patternFill>
    </x:fill>
  </x:fills>
  <x:borders count="13">
    <x:border/>
    <x:border>
      <x:left style="medium">
        <x:color rgb="FF7F8C8D"/>
      </x:left>
      <x:top style="medium">
        <x:color rgb="FF7F8C8D"/>
      </x:top>
      <x:bottom style="medium">
        <x:color rgb="FF7F8C8D"/>
      </x:bottom>
    </x:border>
    <x:border>
      <x:top style="medium">
        <x:color rgb="FF7F8C8D"/>
      </x:top>
      <x:bottom style="medium">
        <x:color rgb="FF7F8C8D"/>
      </x:bottom>
    </x:border>
    <x:border>
      <x:right style="medium">
        <x:color rgb="FF7F8C8D"/>
      </x:right>
      <x:top style="medium">
        <x:color rgb="FF7F8C8D"/>
      </x:top>
      <x:bottom style="medium">
        <x:color rgb="FF7F8C8D"/>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7" xfId="0" applyNumberFormat="1" applyFont="1" applyFill="1" applyBorder="1"/>
    <x:xf numFmtId="0" fontId="3" fillId="0" borderId="8" xfId="0" applyNumberFormat="1" applyFont="1" applyFill="1" applyBorder="1"/>
    <x:xf numFmtId="0" fontId="3" fillId="0" borderId="9" xfId="0" applyNumberFormat="1" applyFont="1" applyFill="1" applyBorder="1"/>
    <x:xf numFmtId="0" fontId="3" fillId="0" borderId="10" xfId="0" applyNumberFormat="1" applyFont="1" applyFill="1" applyBorder="1"/>
    <x:xf numFmtId="0" fontId="3" fillId="0" borderId="11" xfId="0" applyNumberFormat="1" applyFont="1" applyFill="1" applyBorder="1"/>
    <x:xf numFmtId="0" fontId="3" fillId="0" borderId="12"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xf numFmtId="0" fontId="3" fillId="0" borderId="7" xfId="0" applyNumberFormat="1" applyFont="1" applyFill="1" applyBorder="1" applyAlignment="1">
      <x:alignment wrapText="1"/>
    </x:xf>
    <x:xf numFmtId="0" fontId="3" fillId="0" borderId="8" xfId="0" applyNumberFormat="1" applyFont="1" applyFill="1" applyBorder="1" applyAlignment="1">
      <x:alignment wrapText="1"/>
    </x:xf>
    <x:xf numFmtId="0" fontId="3"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3" fillId="0" borderId="11" xfId="0" applyNumberFormat="1" applyFont="1" applyFill="1" applyBorder="1" applyAlignment="1">
      <x:alignment wrapText="1"/>
    </x:xf>
    <x:xf numFmtId="0" fontId="3" fillId="0" borderId="12" xfId="0" applyNumberFormat="1" applyFont="1" applyFill="1" applyBorder="1" applyAlignment="1">
      <x:alignment wrapText="1"/>
    </x:xf>
    <x:xf numFmtId="0" fontId="3" fillId="0" borderId="4"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3" fillId="0" borderId="11"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7" xfId="0" applyNumberFormat="1" applyFont="1" applyFill="1" applyBorder="1" applyAlignment="1">
      <x:alignment horizontal="center" vertical="top" wrapText="1"/>
    </x:xf>
    <x:xf numFmtId="0" fontId="3" fillId="0" borderId="8" xfId="0" applyNumberFormat="1" applyFont="1" applyFill="1" applyBorder="1" applyAlignment="1">
      <x:alignment horizontal="center" vertical="top" wrapText="1"/>
    </x:xf>
    <x:xf numFmtId="0" fontId="3" fillId="0" borderId="10" xfId="0" applyNumberFormat="1" applyFont="1" applyFill="1" applyBorder="1" applyAlignment="1">
      <x:alignment horizontal="center" vertical="top" wrapText="1"/>
    </x:xf>
    <x:xf numFmtId="0" fontId="3" fillId="0" borderId="11" xfId="0" applyNumberFormat="1" applyFont="1" applyFill="1" applyBorder="1" applyAlignment="1">
      <x:alignment horizontal="center"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3" borderId="0" xfId="0" applyNumberFormat="1" applyFont="1" applyFill="1" applyBorder="1"/>
    <x:xf numFmtId="0" fontId="5" fillId="3" borderId="1"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1" xfId="0" applyNumberFormat="1" applyFont="1" applyFill="1" applyBorder="1" applyAlignment="1">
      <x:alignment horizontal="center"/>
    </x:xf>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200" fontId="0" fillId="0" borderId="5" xfId="0" applyNumberFormat="1" applyFont="1" applyFill="1" applyBorder="1" applyAlignment="1">
      <x:alignment vertical="center" wrapText="1"/>
    </x:xf>
    <x:xf numFmtId="200" fontId="0" fillId="0" borderId="8" xfId="0" applyNumberFormat="1" applyFont="1" applyFill="1" applyBorder="1" applyAlignment="1">
      <x:alignment vertical="center" wrapText="1"/>
    </x:xf>
    <x:xf numFmtId="200" fontId="0" fillId="0" borderId="11" xfId="0" applyNumberFormat="1" applyFont="1" applyFill="1" applyBorder="1" applyAlignment="1">
      <x:alignment vertical="center" wrapText="1"/>
    </x:xf>
    <x:xf numFmtId="200" fontId="0" fillId="0" borderId="5" xfId="0" applyNumberFormat="1" applyFont="1" applyFill="1" applyBorder="1" applyAlignment="1">
      <x:alignment horizontal="right" vertical="center" wrapText="1"/>
    </x:xf>
    <x:xf numFmtId="200" fontId="0" fillId="0" borderId="8" xfId="0" applyNumberFormat="1" applyFont="1" applyFill="1" applyBorder="1" applyAlignment="1">
      <x:alignment horizontal="right" vertical="center" wrapText="1"/>
    </x:xf>
    <x:xf numFmtId="200" fontId="0" fillId="0" borderId="11"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4c1d7d53bf4065" /><Relationship Type="http://schemas.openxmlformats.org/officeDocument/2006/relationships/theme" Target="/xl/theme/theme1.xml" Id="R933b74608c7d4672" /><Relationship Type="http://schemas.openxmlformats.org/officeDocument/2006/relationships/sharedStrings" Target="/xl/sharedStrings.xml" Id="R826b4fef8f3945bd" /><Relationship Type="http://schemas.openxmlformats.org/officeDocument/2006/relationships/worksheet" Target="/xl/worksheets/sheet1.xml" Id="R304b6e51faa44216" /><Relationship Type="http://schemas.openxmlformats.org/officeDocument/2006/relationships/worksheet" Target="/xl/worksheets/sheet2.xml" Id="Rcb44bef8497145e2" /></Relationships>
</file>

<file path=xl/tables/table1.xml><?xml version="1.0" encoding="utf-8"?>
<x:table xmlns:x="http://schemas.openxmlformats.org/spreadsheetml/2006/main" id="1" name="化学QuestionTable34" displayName="化学QuestionTable34" ref="A2:S36" headerRowCount="1" totalsRowCount="0" totalsRowShown="0">
  <x:tableColumns count="19">
    <x:tableColumn id="1" name="学科"/>
    <x:tableColumn id="2" name="年份"/>
    <x:tableColumn id="3" name="区域"/>
    <x:tableColumn id="4" name="试卷来源"/>
    <x:tableColumn id="5" name="题号"/>
    <x:tableColumn id="6" name="题型"/>
    <x:tableColumn id="7" name="题干"/>
    <x:tableColumn id="8" name="选项"/>
    <x:tableColumn id="9" name="答案"/>
    <x:tableColumn id="10" name="标准解析"/>
    <x:tableColumn id="11" name="题干图片数"/>
    <x:tableColumn id="12" name="解析图片数"/>
    <x:tableColumn id="13" name="一级知识点"/>
    <x:tableColumn id="14" name="知识点"/>
    <x:tableColumn id="15" name="难度"/>
    <x:tableColumn id="16" name="难度说明"/>
    <x:tableColumn id="17" name="答案解析审核状态"/>
    <x:tableColumn id="18" name="审核状态"/>
    <x:tableColumn id="19" name="来源文件"/>
  </x:tableColumns>
  <x:tableStyleInfo name="TableStyleMedium4" showFirstColumn="0" showLastColumn="0" showRowStripes="1" showColumnStripes="0"/>
</x:table>
</file>

<file path=xl/tables/table2.xml><?xml version="1.0" encoding="utf-8"?>
<x:table xmlns:x="http://schemas.openxmlformats.org/spreadsheetml/2006/main" id="2" name="化学StatsTable34" displayName="化学StatsTable34" ref="A3:C23" headerRowCount="1" totalsRowCount="0" totalsRowShown="0">
  <x:tableColumns count="3">
    <x:tableColumn id="1" name="检查项"/>
    <x:tableColumn id="2" name="结果"/>
    <x:tableColumn id="3" name="说明"/>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b3b27fa241346a8" /></Relationships>
</file>

<file path=xl/worksheets/_rels/sheet2.xml.rels>&#65279;<?xml version="1.0" encoding="utf-8"?><Relationships xmlns="http://schemas.openxmlformats.org/package/2006/relationships"><Relationship Type="http://schemas.openxmlformats.org/officeDocument/2006/relationships/table" Target="/xl/tables/table2.xml" Id="Rb3add110800d4d0f"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7.25" hidden="0" customWidth="1"/>
    <x:col min="3" max="3" width="7.75" hidden="0" customWidth="1"/>
    <x:col min="4" max="4" width="26.8799991607666" hidden="0" customWidth="1"/>
    <x:col min="5" max="5" width="6.25" hidden="0" customWidth="1"/>
    <x:col min="6" max="6" width="10.630000114440918" hidden="0" customWidth="1"/>
    <x:col min="7" max="7" width="45" hidden="0" customWidth="1"/>
    <x:col min="8" max="8" width="37.5" hidden="0" customWidth="1"/>
    <x:col min="9" max="9" width="26.25" hidden="0" customWidth="1"/>
    <x:col min="10" max="10" width="51.25" hidden="0" customWidth="1"/>
    <x:col min="11" max="11" width="9.5" hidden="0" customWidth="1"/>
    <x:col min="12" max="12" width="9.5" hidden="0" customWidth="1"/>
    <x:col min="13" max="13" width="11.25" hidden="0" customWidth="1"/>
    <x:col min="14" max="14" width="31.25" hidden="0" customWidth="1"/>
    <x:col min="15" max="15" width="8.75" hidden="0" customWidth="1"/>
    <x:col min="16" max="16" width="35" hidden="0" customWidth="1"/>
    <x:col min="17" max="17" width="13" hidden="0" customWidth="1"/>
    <x:col min="18" max="18" width="10.25" hidden="0" customWidth="1"/>
    <x:col min="19" max="19" width="37.5" hidden="0" customWidth="1"/>
  </x:cols>
  <x:sheetData>
    <x:row r="1" ht="28" customHeight="1">
      <x:c r="A1" s="4" t="str">
        <x:v>化学母题库检查表（知识点与难度标注版）</x:v>
      </x:c>
      <x:c r="B1" s="4"/>
      <x:c r="C1" s="4"/>
      <x:c r="D1" s="4"/>
      <x:c r="E1" s="4"/>
      <x:c r="F1" s="4"/>
      <x:c r="G1" s="4"/>
      <x:c r="H1" s="4"/>
      <x:c r="I1" s="4"/>
      <x:c r="J1" s="4"/>
      <x:c r="K1" s="4"/>
      <x:c r="L1" s="4"/>
      <x:c r="M1" s="4"/>
      <x:c r="N1" s="4"/>
      <x:c r="O1" s="4"/>
      <x:c r="P1" s="4"/>
      <x:c r="Q1" s="4"/>
      <x:c r="R1" s="4"/>
      <x:c r="S1" s="4"/>
    </x:row>
    <x:row r="2">
      <x:c r="A2" s="16" t="str">
        <x:v>学科</x:v>
      </x:c>
      <x:c r="B2" s="17" t="str">
        <x:v>年份</x:v>
      </x:c>
      <x:c r="C2" s="17" t="str">
        <x:v>区域</x:v>
      </x:c>
      <x:c r="D2" s="17" t="str">
        <x:v>试卷来源</x:v>
      </x:c>
      <x:c r="E2" s="17" t="str">
        <x:v>题号</x:v>
      </x:c>
      <x:c r="F2" s="17" t="str">
        <x:v>题型</x:v>
      </x:c>
      <x:c r="G2" s="17" t="str">
        <x:v>题干</x:v>
      </x:c>
      <x:c r="H2" s="17" t="str">
        <x:v>选项</x:v>
      </x:c>
      <x:c r="I2" s="17" t="str">
        <x:v>答案</x:v>
      </x:c>
      <x:c r="J2" s="17" t="str">
        <x:v>标准解析</x:v>
      </x:c>
      <x:c r="K2" s="17" t="str">
        <x:v>题干图片数</x:v>
      </x:c>
      <x:c r="L2" s="17" t="str">
        <x:v>解析图片数</x:v>
      </x:c>
      <x:c r="M2" s="17" t="str">
        <x:v>一级知识点</x:v>
      </x:c>
      <x:c r="N2" s="17" t="str">
        <x:v>知识点</x:v>
      </x:c>
      <x:c r="O2" s="17" t="str">
        <x:v>难度</x:v>
      </x:c>
      <x:c r="P2" s="17" t="str">
        <x:v>难度说明</x:v>
      </x:c>
      <x:c r="Q2" s="17" t="str">
        <x:v>答案解析审核状态</x:v>
      </x:c>
      <x:c r="R2" s="17" t="str">
        <x:v>审核状态</x:v>
      </x:c>
      <x:c r="S2" s="18" t="str">
        <x:v>来源文件</x:v>
      </x:c>
    </x:row>
    <x:row r="3" ht="72" customHeight="1">
      <x:c r="A3" s="47" t="str">
        <x:v>化学</x:v>
      </x:c>
      <x:c r="B3" s="48" t="n">
        <x:v>2023</x:v>
      </x:c>
      <x:c r="C3" s="48" t="str">
        <x:v>全国</x:v>
      </x:c>
      <x:c r="D3" s="48" t="str">
        <x:v>2023年高考真题——理综（新课标卷）</x:v>
      </x:c>
      <x:c r="E3" s="48" t="str">
        <x:v>7</x:v>
      </x:c>
      <x:c r="F3" s="48" t="str">
        <x:v>单选题</x:v>
      </x:c>
      <x:c r="G3" s="39" t="str">
        <x:v>化学在文物的研究和修复中有重要作用。下列说法错误的是</x:v>
      </x:c>
      <x:c r="H3" s="39" t="str">
        <x:v>A. 竹简的成分之一纤维素属于天然高分子
B. 龟甲的成分之一羟基磷灰石属于无机物
C. 古陶瓷修复所用的熟石膏，其成分为Ca(OH)₂
D. 古壁画颜料中所用的铁红，其成分为Fe₂O₃</x:v>
      </x:c>
      <x:c r="I3" s="39" t="str">
        <x:v>C</x:v>
      </x:c>
      <x:c r="J3" s="39" t="str">
        <x:v>【详解】A．纤维素是一种天然化合物，其分子式为(C₆H₁₀O₅)n，其相对分子质量较高，是一种天然高分子，A正确；
B．羟基磷灰石又称又称羟磷灰石、碱式磷酸钙，其化学式为[Ca₁₀(PO₄)₆(OH)₂]，属于无机物，B正确；
C．熟石膏是主要成分为2CaSO₄·H₂O，Ca(OH)₂为熟石灰的主要成分，C错误；
D．Fe₂O₃为红色，常被用于油漆、涂料、油墨和橡胶的红色颜料，俗称铁红，D正确；
故答案选C。</x:v>
      </x:c>
      <x:c r="K3" s="48" t="n">
        <x:v>0</x:v>
      </x:c>
      <x:c r="L3" s="48" t="n">
        <x:v>0</x:v>
      </x:c>
      <x:c r="M3" s="48" t="str">
        <x:v>化学基本概念</x:v>
      </x:c>
      <x:c r="N3" s="39" t="str">
        <x:v>化学基本概念&gt;化学与社会&gt;材料和文物保护</x:v>
      </x:c>
      <x:c r="O3" s="48" t="str">
        <x:v>easy</x:v>
      </x:c>
      <x:c r="P3" s="39" t="str">
        <x:v>考查材料和文物保护的直接识记或单步判断，条件明确，运算与推理量较小。</x:v>
      </x:c>
      <x:c r="Q3" s="48" t="str">
        <x:v>待审核</x:v>
      </x:c>
      <x:c r="R3" s="48" t="str">
        <x:v>待审核</x:v>
      </x:c>
      <x:c r="S3" s="40" t="str">
        <x:v>试题：E:\BISHE2026\题库\理综\2023年高考真题——理综（新课标卷）Word版含解析.doc
答案解析：E:\BISHE2026\题库\理综\2023年高考真题——理综（新课标卷）Word版含解析.doc</x:v>
      </x:c>
    </x:row>
    <x:row r="4" ht="72" customHeight="1">
      <x:c r="A4" s="49" t="str">
        <x:v>化学</x:v>
      </x:c>
      <x:c r="B4" s="50" t="n">
        <x:v>2023</x:v>
      </x:c>
      <x:c r="C4" s="50" t="str">
        <x:v>全国</x:v>
      </x:c>
      <x:c r="D4" s="50" t="str">
        <x:v>2023年高考真题——理综（新课标卷）</x:v>
      </x:c>
      <x:c r="E4" s="50" t="str">
        <x:v>8</x:v>
      </x:c>
      <x:c r="F4" s="50" t="str">
        <x:v>单选题</x:v>
      </x:c>
      <x:c r="G4" s="42" t="str">
        <x:v>光学性能优良的高分子材料聚碳酸异山梨醇酯可由如下反应制备。
〔图片对象 I007〕
下列说法错误的是</x:v>
      </x:c>
      <x:c r="H4" s="42" t="str">
        <x:v>A. 该高分子材料可降解
B. 异山梨醇分子中有3个手性碳
C. 反应式中化合物X为甲醇
D. 该聚合反应为缩聚反应</x:v>
      </x:c>
      <x:c r="I4" s="42" t="str">
        <x:v>B</x:v>
      </x:c>
      <x:c r="J4" s="42" t="str">
        <x:v>【详解】A．该高分子材料中含有酯基，可以降解，A正确；
B．异山梨醇中〔图片对象 I008〕四处的碳原子为手性碳原子，故异山梨醇分子中有4个手性碳，B错误；
C．反应式中异山梨醇释放出一个羟基与碳酸二甲酯释放出的甲基结合生成甲醇，故反应式中X为甲醇，C正确；
D．该反应在生产高聚物的同时还有小分子的物质生成，属于缩聚反应，D正确；
故答案选B。</x:v>
      </x:c>
      <x:c r="K4" s="50" t="n">
        <x:v>1</x:v>
      </x:c>
      <x:c r="L4" s="50" t="n">
        <x:v>1</x:v>
      </x:c>
      <x:c r="M4" s="50" t="str">
        <x:v>有机化学</x:v>
      </x:c>
      <x:c r="N4" s="42" t="str">
        <x:v>有机化学&gt;高分子化学&gt;缩聚反应与有机结构</x:v>
      </x:c>
      <x:c r="O4" s="50" t="str">
        <x:v>medium</x:v>
      </x:c>
      <x:c r="P4" s="42" t="str">
        <x:v>需要提取题干或图表信息，并结合缩聚反应与有机结构完成两步左右的判断或计算。</x:v>
      </x:c>
      <x:c r="Q4" s="50" t="str">
        <x:v>待审核</x:v>
      </x:c>
      <x:c r="R4" s="50" t="str">
        <x:v>待审核</x:v>
      </x:c>
      <x:c r="S4" s="43" t="str">
        <x:v>试题：E:\BISHE2026\题库\理综\2023年高考真题——理综（新课标卷）Word版含解析.doc
答案解析：E:\BISHE2026\题库\理综\2023年高考真题——理综（新课标卷）Word版含解析.doc</x:v>
      </x:c>
    </x:row>
    <x:row r="5" ht="72" customHeight="1">
      <x:c r="A5" s="49" t="str">
        <x:v>化学</x:v>
      </x:c>
      <x:c r="B5" s="50" t="n">
        <x:v>2023</x:v>
      </x:c>
      <x:c r="C5" s="50" t="str">
        <x:v>全国</x:v>
      </x:c>
      <x:c r="D5" s="50" t="str">
        <x:v>2023年高考真题——理综（新课标卷）</x:v>
      </x:c>
      <x:c r="E5" s="50" t="str">
        <x:v>9</x:v>
      </x:c>
      <x:c r="F5" s="50" t="str">
        <x:v>单选题</x:v>
      </x:c>
      <x:c r="G5" s="42" t="str">
        <x:v>一种可吸附甲醇的材料，其化学式为〔公式对象 F009〕，部分晶体结构如下图所示，其中〔公式对象 F010〕为平面结构。
〔图片对象 I011〕
下列说法正确的是</x:v>
      </x:c>
      <x:c r="H5" s="42" t="str">
        <x:v>A. 该晶体中存在N-H…O氢键
B. 基态原子的第一电离能：〔公式对象 F012〕
C. 基态原子未成对电子数：〔公式对象 F013〕
D. 晶体中B、N和O原子轨道的杂化类型相同</x:v>
      </x:c>
      <x:c r="I5" s="42" t="str">
        <x:v>A</x:v>
      </x:c>
      <x:c r="J5" s="42" t="str">
        <x:v>【详解】A．由晶体结构图可知，〔公式对象 F015〕中的〔公式对象 F016〕的〔公式对象 F017〕与〔公式对象 F018〕中的〔公式对象 F019〕形成氢键，因此，该晶体中存在〔公式对象 F020〕氢键，A说法正确；
B．同一周期元素原子的第一电离能呈递增趋势，但是第ⅡA、ⅤA元素的原子结构比较稳定，其第一电离能高于同周期的相邻元素的原子，因此，基态原子的第一电离能从小到大的顺序为C&lt; O &lt; N，B说法不正确；
C．B、C、O、N的未成对电子数分别为1、2、2、3，因此，基态原子未成对电子数B&lt;C=O&lt;N，C说法不正确；
D．〔公式对象 F021〕为平面结构，则其中的C和N原子轨道杂化类型均为〔公式对象 F022〕；〔公式对象 F023〕中B与4个O形成了4个σ键，B没有孤电子对，则B的原子轨道杂化类型为〔公式对象 F024〕；〔公式对象 F025〕中O分别与B和C形成了2个σ键，O原子还有2个孤电子对，则O的原子轨道的杂化类型均为〔公式对象 F026〕；综上所述，晶体中B、О和N原子轨道的杂化类型不相同，D说法不正确；
综上所述，本题选A。</x:v>
      </x:c>
      <x:c r="K5" s="50" t="n">
        <x:v>5</x:v>
      </x:c>
      <x:c r="L5" s="50" t="n">
        <x:v>12</x:v>
      </x:c>
      <x:c r="M5" s="50" t="str">
        <x:v>物质结构</x:v>
      </x:c>
      <x:c r="N5" s="42" t="str">
        <x:v>物质结构&gt;晶体结构&gt;化学键与晶胞</x:v>
      </x:c>
      <x:c r="O5" s="50" t="str">
        <x:v>hard</x:v>
      </x:c>
      <x:c r="P5" s="42" t="str">
        <x:v>需要综合多个条件，围绕化学键与晶胞进行多环节推理、定量计算或实验分析。</x:v>
      </x:c>
      <x:c r="Q5" s="50" t="str">
        <x:v>待审核</x:v>
      </x:c>
      <x:c r="R5" s="50" t="str">
        <x:v>待审核</x:v>
      </x:c>
      <x:c r="S5" s="43" t="str">
        <x:v>试题：E:\BISHE2026\题库\理综\2023年高考真题——理综（新课标卷）Word版含解析.doc
答案解析：E:\BISHE2026\题库\理综\2023年高考真题——理综（新课标卷）Word版含解析.doc</x:v>
      </x:c>
    </x:row>
    <x:row r="6" ht="72" customHeight="1">
      <x:c r="A6" s="49" t="str">
        <x:v>化学</x:v>
      </x:c>
      <x:c r="B6" s="50" t="n">
        <x:v>2023</x:v>
      </x:c>
      <x:c r="C6" s="50" t="str">
        <x:v>全国</x:v>
      </x:c>
      <x:c r="D6" s="50" t="str">
        <x:v>2023年高考真题——理综（新课标卷）</x:v>
      </x:c>
      <x:c r="E6" s="50" t="str">
        <x:v>10</x:v>
      </x:c>
      <x:c r="F6" s="50" t="str">
        <x:v>单选题</x:v>
      </x:c>
      <x:c r="G6" s="42" t="str">
        <x:v>一种以〔公式对象 F027〕和〔公式对象 F028〕为电极、〔公式对象 F029〕水溶液为电解质的电池，其示意图如下所示。放电时，〔公式对象 F030〕可插入〔公式对象 F031〕层间形成〔公式对象 F032〕。下列说法错误的是
〔图片对象 I033〕</x:v>
      </x:c>
      <x:c r="H6" s="42" t="str">
        <x:v>A. 放电时〔公式对象 F034〕为正极
B. 放电时〔公式对象 F035〕由负极向正极迁移
C. 充电总反应：〔公式对象 F036〕
D. 充电阳极反应：〔公式对象 F037〕</x:v>
      </x:c>
      <x:c r="I6" s="42" t="str">
        <x:v>C</x:v>
      </x:c>
      <x:c r="J6" s="42" t="str">
        <x:v>【分析】由题中信息可知，该电池中Zn为负极、〔公式对象 F038〕为正极，电池的总反应为〔公式对象 F039〕。
【详解】A．由题信息可知，放电时，〔公式对象 F040〕可插入〔公式对象 F041〕层间形成〔公式对象 F042〕，〔公式对象 F043〕发生了还原反应，则放电时〔公式对象 F044〕为正极，A说法正确；
B．Zn为负极，放电时Zn失去电子变为〔公式对象 F045〕，阳离子向正极迁移，则放电时〔公式对象 F046〕由负极向正极迁移，B说法正确；
C．电池在放电时的总反应为〔公式对象 F048〕，则其在充电时的总反应为〔公式对象 F049〕，C说法不正确；
D．充电阳极上〔公式对象 F050〕被氧化为〔公式对象 F051〕，则阳极的电极反应为〔公式对象 F052〕，D说法正确；
综上所述，本题选C。</x:v>
      </x:c>
      <x:c r="K6" s="50" t="n">
        <x:v>11</x:v>
      </x:c>
      <x:c r="L6" s="50" t="n">
        <x:v>14</x:v>
      </x:c>
      <x:c r="M6" s="50" t="str">
        <x:v>化学反应原理</x:v>
      </x:c>
      <x:c r="N6" s="42" t="str">
        <x:v>化学反应原理&gt;电化学&gt;原电池</x:v>
      </x:c>
      <x:c r="O6" s="50" t="str">
        <x:v>medium</x:v>
      </x:c>
      <x:c r="P6" s="42" t="str">
        <x:v>需要提取题干或图表信息，并结合原电池完成两步左右的判断或计算。</x:v>
      </x:c>
      <x:c r="Q6" s="50" t="str">
        <x:v>待审核</x:v>
      </x:c>
      <x:c r="R6" s="50" t="str">
        <x:v>待审核</x:v>
      </x:c>
      <x:c r="S6" s="43" t="str">
        <x:v>试题：E:\BISHE2026\题库\理综\2023年高考真题——理综（新课标卷）Word版含解析.doc
答案解析：E:\BISHE2026\题库\理综\2023年高考真题——理综（新课标卷）Word版含解析.doc</x:v>
      </x:c>
    </x:row>
    <x:row r="7" ht="72" customHeight="1">
      <x:c r="A7" s="49" t="str">
        <x:v>化学</x:v>
      </x:c>
      <x:c r="B7" s="50" t="n">
        <x:v>2023</x:v>
      </x:c>
      <x:c r="C7" s="50" t="str">
        <x:v>全国</x:v>
      </x:c>
      <x:c r="D7" s="50" t="str">
        <x:v>2023年高考真题——理综（新课标卷）</x:v>
      </x:c>
      <x:c r="E7" s="50" t="str">
        <x:v>11</x:v>
      </x:c>
      <x:c r="F7" s="50" t="str">
        <x:v>单选题</x:v>
      </x:c>
      <x:c r="G7" s="42" t="str">
        <x:v>根据实验操作及现象，下列结论中正确的是
〔表格开始〕
| 选项 | 实验操作及现象 | 结论 |
| A | 常温下将铁片分别插入稀硝酸和浓硝酸中，前者产生无色气体，后者无明显现象 | 稀硝酸的氧化性比浓硝酸强 |
| B | 取一定量〔公式对象 F053〕样品，溶解后加入〔公式对象 F054〕溶液，产生白色沉淀。加入浓〔公式对象 F055〕，仍有沉淀 | 此样品中含有〔公式对象 F056〕 |
| C | 将银和〔公式对象 F057〕溶液与铜和〔公式对象 F058〕溶液组成原电池〔图片对象 I059〕连通后银表面有银白色金属沉积，铜电极附近溶液逐渐变蓝 | 〔公式对象 F060〕的金属性比〔公式对象 F061〕强 |
| D | 向溴水中加入苯，振荡后静置，水层颜色变浅 | 溴与苯发生了加成反应 |
〔表格结束〕</x:v>
      </x:c>
      <x:c r="H7" s="42" t="str">
        <x:v>A. A
B. B
C. C
D. D</x:v>
      </x:c>
      <x:c r="I7" s="42" t="str">
        <x:v>C</x:v>
      </x:c>
      <x:c r="J7" s="42" t="str">
        <x:v>【详解】A．常温下，铁片与浓硝酸会发生钝化，导致现象不明显，但稀硝酸与铁不发生钝化，会产生气泡，所以不能通过该实验现象比较浓硝酸和稀硝酸的氧化性强弱，A错误；
B．浓硝酸会氧化亚硫酸根生成硫酸根，仍然产生白色沉淀，所以不能通过该实验现象判断样品中含有硫酸根，B错误；
C．铜比银活泼，在形成原电池过程中，做负极，发生氧化反应，生成了铜离子，导致溶液变为蓝色，所以该实验可以比较铜和银的金属性强弱，C正确；
D．向溴水中加入苯，苯可将溴萃取到上层，使下层水层颜色变浅，不是溴与苯发生了加成反应，D错误；
故选C。</x:v>
      </x:c>
      <x:c r="K7" s="50" t="n">
        <x:v>9</x:v>
      </x:c>
      <x:c r="L7" s="50" t="n">
        <x:v>0</x:v>
      </x:c>
      <x:c r="M7" s="50" t="str">
        <x:v>实验化学</x:v>
      </x:c>
      <x:c r="N7" s="42" t="str">
        <x:v>实验化学&gt;实验现象与结论&gt;物质检验和反应判断</x:v>
      </x:c>
      <x:c r="O7" s="50" t="str">
        <x:v>medium</x:v>
      </x:c>
      <x:c r="P7" s="42" t="str">
        <x:v>需要提取题干或图表信息，并结合物质检验和反应判断完成两步左右的判断或计算。</x:v>
      </x:c>
      <x:c r="Q7" s="50" t="str">
        <x:v>待审核</x:v>
      </x:c>
      <x:c r="R7" s="50" t="str">
        <x:v>待审核</x:v>
      </x:c>
      <x:c r="S7" s="43" t="str">
        <x:v>试题：E:\BISHE2026\题库\理综\2023年高考真题——理综（新课标卷）Word版含解析.doc
答案解析：E:\BISHE2026\题库\理综\2023年高考真题——理综（新课标卷）Word版含解析.doc</x:v>
      </x:c>
    </x:row>
    <x:row r="8" ht="72" customHeight="1">
      <x:c r="A8" s="49" t="str">
        <x:v>化学</x:v>
      </x:c>
      <x:c r="B8" s="50" t="n">
        <x:v>2023</x:v>
      </x:c>
      <x:c r="C8" s="50" t="str">
        <x:v>全国</x:v>
      </x:c>
      <x:c r="D8" s="50" t="str">
        <x:v>2023年高考真题——理综（新课标卷）</x:v>
      </x:c>
      <x:c r="E8" s="50" t="str">
        <x:v>12</x:v>
      </x:c>
      <x:c r="F8" s="50" t="str">
        <x:v>单选题</x:v>
      </x:c>
      <x:c r="G8" s="42" t="str">
        <x:v>“肼合成酶”以其中的〔公式对象 F062〕配合物为催化中心，可将〔公式对象 F063〕与〔公式对象 F064〕转化为肼(〔公式对象 F065〕)，其反应历程如下所示。
〔图片对象 I066〕
下列说法错误的是</x:v>
      </x:c>
      <x:c r="H8" s="42" t="str">
        <x:v>A. 〔公式对象 F067〕、〔公式对象 F068〕和〔公式对象 F069〕均为极性分子
B. 反应涉及〔公式对象 F070〕、〔公式对象 F071〕键断裂和〔公式对象 F072〕键生成
C. 催化中心的〔公式对象 F073〕被氧化为〔公式对象 F074〕，后又被还原为〔公式对象 F075〕
D. 将〔公式对象 F076〕替换为〔公式对象 F077〕，反应可得〔公式对象 F078〕</x:v>
      </x:c>
      <x:c r="I8" s="42" t="str">
        <x:v>D</x:v>
      </x:c>
      <x:c r="J8" s="42" t="str">
        <x:v>【详解】A．NH₂OH，NH₃，H₂O的电荷分布都不均匀，不对称，为极性分子，A正确；
B．由反应历程可知，有N－H，N－O键断裂，还有N－H键的生成，B正确；
C．由反应历程可知，反应过程中，Fe²⁺先失去电子发生氧化反应生成Fe³⁺，后面又得到电子生成Fe²⁺，C正确；
D．由反应历程可知，反应过程中，生成的NH₂NH₂有两个氢来源于NH₃，所以将NH₂OH替换为ND₂OD，不可能得到ND₂ND₂，得到ND₂NH₂和HDO，D错误；
故选D。</x:v>
      </x:c>
      <x:c r="K8" s="50" t="n">
        <x:v>17</x:v>
      </x:c>
      <x:c r="L8" s="50" t="n">
        <x:v>0</x:v>
      </x:c>
      <x:c r="M8" s="50" t="str">
        <x:v>化学反应原理</x:v>
      </x:c>
      <x:c r="N8" s="42" t="str">
        <x:v>化学反应原理&gt;化学动力学&gt;催化反应历程</x:v>
      </x:c>
      <x:c r="O8" s="50" t="str">
        <x:v>medium</x:v>
      </x:c>
      <x:c r="P8" s="42" t="str">
        <x:v>需要提取题干或图表信息，并结合催化反应历程完成两步左右的判断或计算。</x:v>
      </x:c>
      <x:c r="Q8" s="50" t="str">
        <x:v>待审核</x:v>
      </x:c>
      <x:c r="R8" s="50" t="str">
        <x:v>待审核</x:v>
      </x:c>
      <x:c r="S8" s="43" t="str">
        <x:v>试题：E:\BISHE2026\题库\理综\2023年高考真题——理综（新课标卷）Word版含解析.doc
答案解析：E:\BISHE2026\题库\理综\2023年高考真题——理综（新课标卷）Word版含解析.doc</x:v>
      </x:c>
    </x:row>
    <x:row r="9" ht="72" customHeight="1">
      <x:c r="A9" s="49" t="str">
        <x:v>化学</x:v>
      </x:c>
      <x:c r="B9" s="50" t="n">
        <x:v>2023</x:v>
      </x:c>
      <x:c r="C9" s="50" t="str">
        <x:v>全国</x:v>
      </x:c>
      <x:c r="D9" s="50" t="str">
        <x:v>2023年高考真题——理综（新课标卷）</x:v>
      </x:c>
      <x:c r="E9" s="50" t="str">
        <x:v>13</x:v>
      </x:c>
      <x:c r="F9" s="50" t="str">
        <x:v>单选题</x:v>
      </x:c>
      <x:c r="G9" s="42" t="str">
        <x:v>向〔公式对象 F079〕饱和溶液(有足量〔公式对象 F080〕固体)中滴加氨水，发生反应〔公式对象 F081〕和〔公式对象 F082〕，〔公式对象 F083〕与〔公式对象 F084〕的关系如下图所示(其中M代表〔公式对象 F085〕、〔公式对象 F086〕、〔公式对象 F087〕或〔公式对象 F088〕)。 〔图片对象 I089〕
下列说法错误的是</x:v>
      </x:c>
      <x:c r="H9" s="42" t="str">
        <x:v>A. 曲线I可视为〔公式对象 F090〕溶解度随〔公式对象 F091〕浓度变化曲线
B. 〔公式对象 F092〕的溶度积常数〔公式对象 F093〕
C. 反应〔公式对象 F094〕的平衡常数K的值为〔公式对象 F095〕
D. 〔公式对象 F096〕时，溶液中〔公式对象 F097〕</x:v>
      </x:c>
      <x:c r="I9" s="42" t="str">
        <x:v>A</x:v>
      </x:c>
      <x:c r="J9" s="42" t="str">
        <x:v>【分析】氯化银饱和溶液中银离子和氯离子的浓度相等，向饱和溶液中滴加氨水，溶液中银离子浓度减小，氯离子浓度增大、一氨合银离子增大，继续滴加氨水，一氨合银离子增大的幅度小于二氨合银离子，则曲线I、Ⅱ、Ⅲ、Ⅳ分别表示二氨合银离子、一氨合银离子、银离子、氯离子与氨气浓度对数变化的曲线。
【详解】A．氨的浓度较小时AgCl(s) 〔公式对象 F098〕Ag⁺(aq)+Cl⁻(aq)，浓度较大时AgCl(s) +2NH₃〔公式对象 F099〕〔公式对象 F100〕(aq)+Cl⁻(aq)，氯化银的溶解度曲线应与氯离子的曲线吻合，应该为曲线Ⅳ，故A错误；
B．由图可知，c(NH₃)=10⁻¹mol/L时，c(Cl⁻)=10⁻².³⁵mol/L, c(Ag⁺)=10⁻⁷.⁴⁰mol/L，则氯化银的溶度积为10⁻².³⁵×10⁻⁷.⁴⁰=10⁻⁹.⁷⁵，故B正确；
C．由图可知，氨分子浓度对数为-1时，溶液中二氨合银离子和一氨合银离子的浓度分别为10⁻².³⁵mol/L和10⁻⁵.¹⁶mol/L，则〔公式对象 F101〕的平衡常数K=
〔公式对象 F102〕=〔公式对象 F103〕=〔公式对象 F104〕，故C正确；
D．由分析可知，曲线I、Ⅱ、Ⅲ、Ⅳ分别表示二氨合银离子、一氨合银离子、银离子、氯离子与氨气浓度对数变化的曲线，则〔公式对象 F105〕时，溶液中〔公式对象 F106〕，故D正确；
故选A。</x:v>
      </x:c>
      <x:c r="K9" s="50" t="n">
        <x:v>19</x:v>
      </x:c>
      <x:c r="L9" s="50" t="n">
        <x:v>9</x:v>
      </x:c>
      <x:c r="M9" s="50" t="str">
        <x:v>化学反应原理</x:v>
      </x:c>
      <x:c r="N9" s="42" t="str">
        <x:v>化学反应原理&gt;水溶液中的离子平衡&gt;沉淀溶解平衡</x:v>
      </x:c>
      <x:c r="O9" s="50" t="str">
        <x:v>hard</x:v>
      </x:c>
      <x:c r="P9" s="42" t="str">
        <x:v>需要综合多个条件，围绕沉淀溶解平衡进行多环节推理、定量计算或实验分析。</x:v>
      </x:c>
      <x:c r="Q9" s="50" t="str">
        <x:v>待审核</x:v>
      </x:c>
      <x:c r="R9" s="50" t="str">
        <x:v>待审核</x:v>
      </x:c>
      <x:c r="S9" s="43" t="str">
        <x:v>试题：E:\BISHE2026\题库\理综\2023年高考真题——理综（新课标卷）Word版含解析.doc
答案解析：E:\BISHE2026\题库\理综\2023年高考真题——理综（新课标卷）Word版含解析.doc</x:v>
      </x:c>
    </x:row>
    <x:row r="10" ht="72" customHeight="1">
      <x:c r="A10" s="49" t="str">
        <x:v>化学</x:v>
      </x:c>
      <x:c r="B10" s="50" t="n">
        <x:v>2023</x:v>
      </x:c>
      <x:c r="C10" s="50" t="str">
        <x:v>全国</x:v>
      </x:c>
      <x:c r="D10" s="50" t="str">
        <x:v>2023年高考真题——理综（新课标卷）</x:v>
      </x:c>
      <x:c r="E10" s="50" t="str">
        <x:v>27</x:v>
      </x:c>
      <x:c r="F10" s="50" t="str">
        <x:v>解答题</x:v>
      </x:c>
      <x:c r="G10" s="42" t="str">
        <x:v>铬和钒具有广泛用途。铬钒渣中铬和钒以低价态含氧酸盐形式存在，主要杂质为铁、铝、硅、磷等的化合物，从铬钒渣中分离提取铬和钒的一种流程如下图所示：
〔图片对象 I212〕
已知：最高价铬酸根在酸性介质中以Cr₂O〔公式对象 F213〕存在，在碱性介质中以CrO〔公式对象 F214〕存在。
回答下列问题：
（1）煅烧过程中，钒和铬被氧化为相应的最高价含氧酸盐，其中含铬化合物主要为___________(填化学式)。
（2）水浸渣中主要有SiO₂和___________。
（3）“沉淀”步骤调pH到弱碱性，主要除去的杂质是___________。
（4）“除硅磷”步骤中，使硅、磷分别以MgSiO₃和MgNH₄PO₄的形式沉淀，该步需要控制溶液的pH≈9以达到最好的除杂效果，若pH&lt;9时，会导致___________；pH&gt;9时，会导致___________。
（5）“分离钒”步骤中，将溶液pH调到1.8左右得到V₂O₅沉淀，V₂O₅在pH&lt;1时，溶解为VO〔公式对象 F215〕或VO³⁺在碱性条件下，溶解为VO〔公式对象 F216〕或VO〔公式对象 F217〕，上述性质说明V₂O₅具有___________(填标号)。
A．酸性 B．碱性 C．两性
（6）“还原”步骤中加入焦亚硫酸钠(Na₂S₂O₅)溶液，反应的离子方程式为___________。</x:v>
      </x:c>
      <x:c r="H10" s="42" t="str"/>
      <x:c r="I10" s="42" t="str">
        <x:v>（1）Na₂CrO₄
（2）Fe₂O₃ （3）Al(OH)₃
（4） ①. 磷酸根会与H⁺反应使其浓度降低导致MgNH₄PO₄无法完全沉淀，同时可能产生硅酸胶状沉淀不宜处理 ②. 会导镁离子生成氢氧化镁沉淀，不能形成MgSiO₃沉淀，导致产品中混有杂质，同时溶液中铵根离子浓度降低导致MgNH₄PO₄无法完全沉淀
（5）C （6）2Cr₂O〔公式对象 F218〕+3S₂O〔公式对象 F219〕+10H⁺=4Cr³⁺+6SO〔公式对象 F220〕+5H₂O</x:v>
      </x:c>
      <x:c r="J10" s="42" t="str">
        <x:v>【分析】由题给流程可知，铬钒渣在氢氧化钠和空气中煅烧，将钒、铬、铝、硅、磷等元素转化为相应的最高价含氧酸盐，煅烧渣加入水浸取、过滤得到含有二氧化硅、氧化铁的滤渣和滤液；向滤液中加入稀硫酸调节溶液pH将Al元素转化为氢氧化铝沉淀，过滤得到强氧化铝滤渣和滤液；向滤液中加入硫酸镁溶液、硫酸铵溶液将硅元素、磷元素转化为MgSiO₃和MgNH₄PO₄沉淀，过滤得到含有MgSiO₃、MgNH₄PO₄的滤渣和滤液；向滤液中加入稀硫酸调节溶液pH将钒元素转化为五氧化二钒，过滤得到五氧化二钒和滤液；向滤液中焦亚硫酸钠溶液将铬元素转化为三价铬离子，调节溶液pH将铬元素转化为氢氧化铬沉淀，过滤得到氢氧化铬。
【小问1详解】
由分析可知，煅烧过程中，铬元素转化为铬酸钠，故答案为：Na₂CrO₄；
【小问2详解】
由分析可知，水浸渣中主要有二氧化硅、氧化铁，故答案为：Fe₂O₃；
【小问3详解】
由分析可知，沉淀步骤调pH到弱碱性的目的是将Al元素转化为氢氧化铝沉淀，故答案为：Al(OH)₃；
【小问4详解】
由分析可知，加入硫酸镁溶液、硫酸铵溶液的目的是将硅元素、磷元素转化为MgSiO₃和MgNH₄PO₄沉淀，若溶液pH&lt;9时，磷酸根会与H⁺反应使其浓度降低导致MgNH₄PO₄无法完全沉淀，同时可能产生硅酸胶状沉淀不宜处理；若溶液pH&gt;9时，会导镁离子生成氢氧化镁沉淀，不能形成MgSiO₃沉淀，导致产品中混有杂质，同时溶液中铵根离子浓度降低导致MgNH₄PO₄无法完全沉淀，故答案为：磷酸根会与H⁺反应使其浓度降低导致MgNH₄PO₄，同时可能产生硅酸胶状沉淀不宜处理；会导镁离子生成氢氧化镁沉淀，不能形成MgSiO₃沉淀，导致产品中混有杂质，同时溶液中铵根离子浓度降低导致MgNH₄PO₄无法完全沉淀；
【小问5详解】
由题给信息可知，五氧化二钒水能与酸溶液反应生成盐和水，也能与碱溶液发生生成盐和水的两性氧化物，故选C；
【小问6详解】
由题意可知，还原步骤中加入焦亚硫酸钠溶液的目的是将铬元素转化为铬离子，反应的离子方程式为2Cr₂O〔公式对象 F221〕+3S₂O〔公式对象 F222〕+10H⁺=4Cr³⁺+6SO〔公式对象 F223〕+5H₂O，故答案为：2Cr₂O〔公式对象 F224〕+3S₂O〔公式对象 F225〕+10H⁺=4Cr³⁺+6SO〔公式对象 F226〕+5H₂O。</x:v>
      </x:c>
      <x:c r="K10" s="50" t="n">
        <x:v>6</x:v>
      </x:c>
      <x:c r="L10" s="50" t="n">
        <x:v>9</x:v>
      </x:c>
      <x:c r="M10" s="50" t="str">
        <x:v>实验化学</x:v>
      </x:c>
      <x:c r="N10" s="42" t="str">
        <x:v>实验化学&gt;化工流程&gt;分离提纯与离子方程式</x:v>
      </x:c>
      <x:c r="O10" s="50" t="str">
        <x:v>hard</x:v>
      </x:c>
      <x:c r="P10" s="42" t="str">
        <x:v>需要综合多个条件，围绕分离提纯与离子方程式进行多环节推理、定量计算或实验分析。</x:v>
      </x:c>
      <x:c r="Q10" s="50" t="str">
        <x:v>待审核</x:v>
      </x:c>
      <x:c r="R10" s="50" t="str">
        <x:v>待审核</x:v>
      </x:c>
      <x:c r="S10" s="43" t="str">
        <x:v>试题：E:\BISHE2026\题库\理综\2023年高考真题——理综（新课标卷）Word版含解析.doc
答案解析：E:\BISHE2026\题库\理综\2023年高考真题——理综（新课标卷）Word版含解析.doc</x:v>
      </x:c>
    </x:row>
    <x:row r="11" ht="72" customHeight="1">
      <x:c r="A11" s="49" t="str">
        <x:v>化学</x:v>
      </x:c>
      <x:c r="B11" s="50" t="n">
        <x:v>2023</x:v>
      </x:c>
      <x:c r="C11" s="50" t="str">
        <x:v>全国</x:v>
      </x:c>
      <x:c r="D11" s="50" t="str">
        <x:v>2023年高考真题——理综（新课标卷）</x:v>
      </x:c>
      <x:c r="E11" s="50" t="str">
        <x:v>28</x:v>
      </x:c>
      <x:c r="F11" s="50" t="str">
        <x:v>解答题</x:v>
      </x:c>
      <x:c r="G11" s="42" t="str">
        <x:v>实验室由安息香制备二苯乙二酮的反应式如下：
〔图片对象 I227〕
相关信息列表如下：
〔表格开始〕
| 物质 | 性状 | 熔点/℃ | 沸点/℃ | 溶解性 |
| 安息香 | 白色固体 | 133 | 344 | 难溶于冷水 / 溶于热水、乙醇、乙酸 |
| 二苯乙二酮 | 淡黄色固体 | 95 | 347 | 不溶于水 / 溶于乙醇、苯、乙酸 |
| 冰乙酸 | 无色液体 | 17 | 118 | 与水、乙醇互溶 |
〔表格结束〕
装置示意图如下图所示，实验步骤为：
①在圆底烧瓶中加入〔公式对象 F228〕冰乙酸、〔公式对象 F229〕水及〔公式对象 F230〕 〔公式对象 F231〕，边搅拌边加热，至固体全部溶解。
②停止加热，待沸腾平息后加入〔公式对象 F232〕安息香，加热回流〔公式对象 F233〕。
③加入〔公式对象 F234〕水，煮沸后冷却，有黄色固体析出。
④过滤，并用冷水洗涤固体3次，得到粗品。
⑤粗品用〔公式对象 F235〕的乙醇重结晶，干燥后得淡黄色结晶〔公式对象 F236〕。
〔图片对象 I237〕
回答下列问题：
（1）仪器A中应加入_______(填“水”或“油”)作为热传导介质。
（2）仪器B的名称是_______；冷却水应从_______(填“a”或“b”)口通入。
（3）实验步骤②中，安息香必须待沸腾平息后方可加入，其主要目的是_______。
（4）在本实验中，〔公式对象 F238〕为氧化剂且过量，其还原产物为_______；某同学尝试改进本实验：采用催化量的〔公式对象 F239〕并通入空气制备二苯乙二酮。该方案是否可行_______？简述判断理由_______。
（5）本实验步骤①~③在乙酸体系中进行，乙酸除作溶剂外，另一主要作用是防止_______。
（6）若粗品中混有少量未氧化的安息香，可用少量_______洗涤的方法除去(填标号)。若要得到更高纯度的产品，可用重结晶的方法进一步提纯。
a．热水 b．乙酸 c．冷水 d．乙醇
（7）本实验的产率最接近于_______(填标号)。
a．〔公式对象 F240〕 b．〔公式对象 F241〕 c．〔公式对象 F242〕 d．〔公式对象 F243〕</x:v>
      </x:c>
      <x:c r="H11" s="42" t="str"/>
      <x:c r="I11" s="42" t="str">
        <x:v>（1）油 （2） ①. 球形冷凝管 ②. a
（3）防暴沸 （4） ①. FeCl₂ ②. 可行 ③. 空气可以将还原产物FeCl₂又氧化为FeCl₃，FeCl₃可循环参与反应
（5）抑制氯化铁水解
（6）a
（7）b</x:v>
      </x:c>
      <x:c r="J11" s="42" t="str">
        <x:v>【分析】在圆底烧瓶中加入10 mL冰乙酸，5mL水，及9.0gFeCl₃· 6H₂O，加热至固体全部溶解，停止加热，待沸腾平息后加入2.0g安息香，加热回流45-60min，反应结束后加入50mL水，煮沸后冷却，析出黄色固体，即为二苯乙二酮，过滤，用冷水洗涤固体三次，得到粗品，再用75%乙醇重结晶，干燥后得到产品1.6g，据此解答。
【小问1详解】
该实验需要加热使冰乙酸沸腾，冰乙酸的沸点超过了100℃，应选择油浴加热，所以仪器A中应加入油作为热传导介质，故答案为：油；
【小问2详解】
根据仪器的结构特征可知，B为球形冷凝管，为了充分冷却，冷却水应从a口进，b口出，故答案为：球形冷凝管；a；
【小问3详解】
步骤②中，若沸腾时加入安息香，会暴沸，所以需要沸腾平息后加入，故答案为：防暴沸；
【小问4详解】
FeCl₃为氧化剂，则铁的化合价降低，还原产物为FeCl₂，若采用催化量的FeCl₃并通入空气制备二苯乙二酮，空气可以将还原产物FeCl₂又氧化为FeCl₃，FeCl₃可循环参与反应，故答案为：FeCl₂；可行；空气可以将还原产物FeCl₂又氧化为FeCl₃，FeCl₃可循环参与反应；
【小问5详解】
氯化铁易水解，所以步骤①～③中，乙酸除做溶剂外，另一主要作用是抑制氯化铁水解；
【小问6详解】
根据安息香和二苯乙二酮的溶解特征，安息香溶于热水，二苯乙二酮不溶于水，所以可以采用热水洗涤粗品除去安息香，故答案为：a；
【小问7详解】
2.0g安息香（C₁₄H₁₂O₂）的物质的量约为0.0094mol，理论上可产生二苯乙二酮（C₁₄H₁₀O₂）的物质的量约为0.0094mol，质量约为1.98g，产率为〔公式对象 F244〕=80.8%，最接近80%，故答案为：b。</x:v>
      </x:c>
      <x:c r="K11" s="50" t="n">
        <x:v>17</x:v>
      </x:c>
      <x:c r="L11" s="50" t="n">
        <x:v>1</x:v>
      </x:c>
      <x:c r="M11" s="50" t="str">
        <x:v>实验化学</x:v>
      </x:c>
      <x:c r="N11" s="42" t="str">
        <x:v>实验化学&gt;有机物制备&gt;回流、过滤与重结晶</x:v>
      </x:c>
      <x:c r="O11" s="50" t="str">
        <x:v>hard</x:v>
      </x:c>
      <x:c r="P11" s="42" t="str">
        <x:v>需要综合多个条件，围绕回流、过滤与重结晶进行多环节推理、定量计算或实验分析。</x:v>
      </x:c>
      <x:c r="Q11" s="50" t="str">
        <x:v>待审核</x:v>
      </x:c>
      <x:c r="R11" s="50" t="str">
        <x:v>待审核</x:v>
      </x:c>
      <x:c r="S11" s="43" t="str">
        <x:v>试题：E:\BISHE2026\题库\理综\2023年高考真题——理综（新课标卷）Word版含解析.doc
答案解析：E:\BISHE2026\题库\理综\2023年高考真题——理综（新课标卷）Word版含解析.doc</x:v>
      </x:c>
    </x:row>
    <x:row r="12" ht="72" customHeight="1">
      <x:c r="A12" s="49" t="str">
        <x:v>化学</x:v>
      </x:c>
      <x:c r="B12" s="50" t="n">
        <x:v>2023</x:v>
      </x:c>
      <x:c r="C12" s="50" t="str">
        <x:v>全国</x:v>
      </x:c>
      <x:c r="D12" s="50" t="str">
        <x:v>2023年高考真题——理综（新课标卷）</x:v>
      </x:c>
      <x:c r="E12" s="50" t="str">
        <x:v>29</x:v>
      </x:c>
      <x:c r="F12" s="50" t="str">
        <x:v>解答题</x:v>
      </x:c>
      <x:c r="G12" s="42" t="str">
        <x:v>氨是最重要的化学品之一，我国目前氨的生产能力位居世界首位。回答下列问题：
（1）根据图1数据计算反应〔公式对象 F245〕的〔公式对象 F247〕_______〔公式对象 F248〕。
〔图片对象 I249〕
（2）研究表明，合成氨反应在〔公式对象 F250〕催化剂上可能通过图2机理进行(*表示催化剂表面吸附位，〔公式对象 F251〕表示被吸附于催化剂表面的〔公式对象 F252〕)。判断上述反应机理中，速率控制步骤(即速率最慢步骤)为_______(填步骤前的标号)，理由是_______。
（3）合成氨催化剂前驱体(主要成分为〔公式对象 F253〕)使用前经〔公式对象 F254〕还原，生成〔公式对象 F255〕包裹的〔公式对象 F256〕。已知〔公式对象 F257〕属于立方晶系，晶胞参数〔公式对象 F258〕，密度为〔公式对象 F259〕，则〔公式对象 F260〕晶胞中含有〔公式对象 F261〕的原子数为_______(列出计算式，阿伏加德罗常数的值为〔公式对象 F262〕)。
（4）在不同压强下，以两种不同组成进料，反应达平衡时氨的摩尔分数与温度的计算结果如下图所示。其中一种进料组成为〔公式对象 F263〕，另一种为〔公式对象 F264〕。(物质i的摩尔分数：〔公式对象 F265〕)
〔图片对象 I266〕
①图中压强由小到大的顺序为_______，判断的依据是_______。
②进料组成中含有情性气体〔公式对象 F267〕的图是_______。
③图3中，当〔公式对象 F268〕、〔公式对象 F269〕时，氮气的转化率〔公式对象 F270〕_______。该温度时，反应〔公式对象 F271〕的平衡常数〔公式对象 F272〕_______〔公式对象 F273〕(化为最简式)。</x:v>
      </x:c>
      <x:c r="H12" s="42" t="str"/>
      <x:c r="I12" s="42" t="str">
        <x:v>（1）〔公式对象 F274〕
（2） ①. (ⅱ) ②. 在化学反应中，最大的能垒为速率控制步骤，而断开化学键的步骤都属于能垒，由于〔公式对象 F275〕的键能比H-H键的大很多，因此，在上述反应机理中，速率控制步骤为(ⅱ)
（3）〔公式对象 F276〕
（4） ①. 〔公式对象 F277〕 ②. 合成氨的反应为气体分子数减少的反应，压强越大平衡时氨的摩尔分数越大 ③. 图4 ④. 〔公式对象 F278〕 ⑤. 〔公式对象 F279〕</x:v>
      </x:c>
      <x:c r="J12" s="42" t="str">
        <x:v>【小问1详解】
在化学反应中，断开化学键要消耗能量，形成化学键要释放能量，反应的焓变等于反应物的键能总和与生成物的键能总和的差，因此，由图1数据可知，反应〔公式对象 F280〕的〔公式对象 F281〕〔公式对象 F282〕。
【小问2详解】
由图1中信息可知，〔公式对象 F283〕的〔公式对象 F284〕，则〔公式对象 F285〕的键能为〔公式对象 F286〕；〔公式对象 F287〕的〔公式对象 F288〕，则H-H键的键能为〔公式对象 F289〕。在化学反应中，最大的能垒为速率控制步骤，而断开化学键的步骤都属于能垒，由于〔公式对象 F290〕的键能比H-H键的大很多，因此，在上述反应机理中，速率控制步骤为(ⅱ)。
【小问3详解】
已知〔公式对象 F291〕属于立方晶系，晶胞参数〔公式对象 F292〕，密度为〔公式对象 F293〕，设其晶胞中含有〔公式对象 F294〕的原子数为〔公式对象 F295〕，则〔公式对象 F296〕晶体密度〔公式对象 F297〕，解之得〔公式对象 F298〕，即〔公式对象 F299〕晶胞中含有〔公式对象 F300〕的原子数为〔公式对象 F301〕。
【小问4详解】
①合成氨的反应中，压强越大越有利于氨的合成，因此，压强越大平衡时氨的摩尔分数越大。由图中信息可知，在相同温度下，反应达平衡时氨的摩尔分数〔公式对象 F302〕，因此，图中压强由小到大的顺序为〔公式对象 F303〕，判断的依据是：合成氨的反应为气体分子数减少的反应，压强越大平衡时氨的摩尔分数越大。
②对比图3和图4中的信息可知，在相同温度和相同压强下，图4中平衡时氨的摩尔分数较小。在恒压下充入情性气体〔公式对象 F304〕，反应混合物中各组分的浓度减小，各组分的分压也减小，化学平衡要朝气体分子数增大的方向移动，因此，充入情性气体〔公式对象 F305〕不利于合成氨，进料组成中含有情性气体〔公式对象 F306〕的图是图4。
③图3中，进料组成为〔公式对象 F307〕两者物质的量之比为3:1。假设进料中氢气和氮气的物质的量分别为3mol和1mol，达到平衡时氮气的变化量为x mol，则有：
〔公式对象 F308〕
当〔公式对象 F309〕、〔公式对象 F310〕时，〔公式对象 F311〕，解之得〔公式对象 F312〕，则氮气的转化率〔公式对象 F313〕，平衡时〔公式对象 F314〕、〔公式对象 F315〕、〔公式对象 F316〕的物质的量分别为〔公式对象 F317〕、2〔公式对象 F318〕、〔公式对象 F319〕，其物质的量分数分别为〔公式对象 F320〕、〔公式对象 F321〕、〔公式对象 F322〕，则该温度下〔公式对象 F323〕因此，该温度时，反应〔公式对象 F324〕的平衡常数〔公式对象 F325〕〔公式对象 F326〕。</x:v>
      </x:c>
      <x:c r="K12" s="50" t="n">
        <x:v>28</x:v>
      </x:c>
      <x:c r="L12" s="50" t="n">
        <x:v>53</x:v>
      </x:c>
      <x:c r="M12" s="50" t="str">
        <x:v>化学反应原理</x:v>
      </x:c>
      <x:c r="N12" s="42" t="str">
        <x:v>化学反应原理&gt;化学平衡&gt;合成氨；化学反应原理&gt;化学动力学&gt;催化机理</x:v>
      </x:c>
      <x:c r="O12" s="50" t="str">
        <x:v>hard</x:v>
      </x:c>
      <x:c r="P12" s="42" t="str">
        <x:v>需要综合多个条件，围绕合成氨进行多环节推理、定量计算或实验分析。</x:v>
      </x:c>
      <x:c r="Q12" s="50" t="str">
        <x:v>待审核</x:v>
      </x:c>
      <x:c r="R12" s="50" t="str">
        <x:v>待审核</x:v>
      </x:c>
      <x:c r="S12" s="43" t="str">
        <x:v>试题：E:\BISHE2026\题库\理综\2023年高考真题——理综（新课标卷）Word版含解析.doc
答案解析：E:\BISHE2026\题库\理综\2023年高考真题——理综（新课标卷）Word版含解析.doc</x:v>
      </x:c>
    </x:row>
    <x:row r="13" ht="72" customHeight="1">
      <x:c r="A13" s="49" t="str">
        <x:v>化学</x:v>
      </x:c>
      <x:c r="B13" s="50" t="n">
        <x:v>2023</x:v>
      </x:c>
      <x:c r="C13" s="50" t="str">
        <x:v>全国</x:v>
      </x:c>
      <x:c r="D13" s="50" t="str">
        <x:v>2023年高考真题——理综（新课标卷）</x:v>
      </x:c>
      <x:c r="E13" s="50" t="str">
        <x:v>30</x:v>
      </x:c>
      <x:c r="F13" s="50" t="str">
        <x:v>解答题</x:v>
      </x:c>
      <x:c r="G13" s="42" t="str">
        <x:v>莫西赛利(化合物K)是一种治疗脑血管疾病的药物，可改善脑梗塞或脑出血后遗症等症状。以下为其合成路线之一。
〔图片对象 I327〕
回答下列问题：
（1）A的化学名称是_______。
（2）C中碳原子的轨道杂化类型有_______种。
（3）D中官能团的名称为_______、_______。
（4）E与F反应生成G的反应类型为_______。
（5）F的结构简式为_______。
（6）I转变为J的化学方程式为_______。
（7）在B的同分异构体中，同时满足下列条件的共有_______种(不考虑立体异构)；
①含有手性碳；②含有三个甲基；③含有苯环。
其中，核磁共振氢谱显示为6组峰，且峰面积比为〔公式对象 F329〕的同分异构体的结构简式为_______。</x:v>
      </x:c>
      <x:c r="H13" s="42" t="str"/>
      <x:c r="I13" s="42" t="str">
        <x:v>（1）3-甲基苯酚(间甲基苯酚)
（2）2 （3） ①. 氨基 ②. 羟基
（4）取代反应 （5）〔图片对象 I330〕
（6）〔图片对象 I331〕+H₂O〔公式对象 F332〕〔图片对象 I333〕+HCl+N₂↑
（7） ①. 9 ②. 〔图片对象 I334〕</x:v>
      </x:c>
      <x:c r="J13" s="42" t="str">
        <x:v>【分析】根据流程，A与2-溴丙烷发生取代反应生成B，B与NaNO₂发生反应生成C，C与NH₄HS反应生成D，D与乙酸酐[(CH₃CO)₂O]反应生成E，结合E的结构简式和D的分子式可知，D为〔图片对象 I335〕；E与F反应生成G，结合E和G的结构简式和F的分子式可知，F为〔图片对象 I336〕；G发生两步反应生成H，H再与NaNO₂/HCl反应生成I，结合I的结构和H的分子式可知，H为〔图片对象 I337〕；I与水反应生成J，J与乙酸酐[(CH₃CO)₂O]反应生成K，结合K的结构简式和J的分子式可知，J为〔图片对象 I338〕；据此分析解题。
【小问1详解】
根据有机物A的结构，有机物A的化学名称为3-甲基苯酚(间甲基苯酚)。
【小问2详解】
有机物C中含有苯环，苯环上的C原子的杂化类型为sp²杂化，还含有甲基和异丙基，甲基和异丙基上的C原子的杂化类型为sp³杂化，故答案为2种。
【小问3详解】
根据分析，有机物D的结构为〔图片对象 I339〕，其官能团为氨基和羟基。
【小问4详解】
有机物E与有机物F发生反应生成有机物G，有机物中的羟基与有机物F中的Cl发生取代反应生成有机物G，故反应类型为取代反应。
【小问5详解】
根据分析，有机物F的结构简式为〔图片对象 I340〕。
【小问6详解】
有机物I与水反应生成有机物J，该反应的方程式为〔图片对象 I341〕+H₂O〔公式对象 F342〕〔图片对象 I343〕+HCl+N₂↑。
【小问7详解】
连有4个不同原子或原子团的碳原子称为手性碳原子。在B的同分异构体中，含有手性碳、含有3个甲基、含有苯环的同分异构体有9种，分别为：〔图片对象 I344〕、 〔图片对象 I345〕 、〔图片对象 I346〕、〔图片对象 I347〕、〔图片对象 I348〕、〔图片对象 I349〕 、〔图片对象 I350〕、〔图片对象 I351〕、〔图片对象 I352〕；其中，核磁共振氢谱显示为6组峰，且峰面积比为3:3:3:2:2:1的同分异构体的结构简式为〔图片对象 I353〕。</x:v>
      </x:c>
      <x:c r="K13" s="50" t="n">
        <x:v>2</x:v>
      </x:c>
      <x:c r="L13" s="50" t="n">
        <x:v>24</x:v>
      </x:c>
      <x:c r="M13" s="50" t="str">
        <x:v>有机化学</x:v>
      </x:c>
      <x:c r="N13" s="42" t="str">
        <x:v>有机化学&gt;有机合成&gt;官能团转化与同分异构体</x:v>
      </x:c>
      <x:c r="O13" s="50" t="str">
        <x:v>hard</x:v>
      </x:c>
      <x:c r="P13" s="42" t="str">
        <x:v>需要综合多个条件，围绕官能团转化与同分异构体进行多环节推理、定量计算或实验分析。</x:v>
      </x:c>
      <x:c r="Q13" s="50" t="str">
        <x:v>待审核</x:v>
      </x:c>
      <x:c r="R13" s="50" t="str">
        <x:v>待审核</x:v>
      </x:c>
      <x:c r="S13" s="43" t="str">
        <x:v>试题：E:\BISHE2026\题库\理综\2023年高考真题——理综（新课标卷）Word版含解析.doc
答案解析：E:\BISHE2026\题库\理综\2023年高考真题——理综（新课标卷）Word版含解析.doc</x:v>
      </x:c>
    </x:row>
    <x:row r="14" ht="72" customHeight="1">
      <x:c r="A14" s="49" t="str">
        <x:v>化学</x:v>
      </x:c>
      <x:c r="B14" s="50" t="n">
        <x:v>2023</x:v>
      </x:c>
      <x:c r="C14" s="50" t="str">
        <x:v>全国</x:v>
      </x:c>
      <x:c r="D14" s="50" t="str">
        <x:v>2023年高考真题——理综（全国甲卷）</x:v>
      </x:c>
      <x:c r="E14" s="50" t="str">
        <x:v>7</x:v>
      </x:c>
      <x:c r="F14" s="50" t="str">
        <x:v>单选题</x:v>
      </x:c>
      <x:c r="G14" s="42" t="str">
        <x:v>化学与生活密切相关，下列说法正确的是</x:v>
      </x:c>
      <x:c r="H14" s="42" t="str">
        <x:v>A. 苯甲酸钠可作为食品防腐剂是由于其具有酸性
B. 豆浆能产生丁达尔效应是由于胶体粒子对光线的散射
C. SO₂可用于丝织品漂白是由于其能氧化丝织品中有色成分
D. 维生素C可用作水果罐头的抗氧化剂是由于其难以被氧化</x:v>
      </x:c>
      <x:c r="I14" s="42" t="str">
        <x:v>B</x:v>
      </x:c>
      <x:c r="J14" s="42" t="str">
        <x:v>【详解】A．苯甲酸钠属于强碱弱酸盐，其水溶液呈碱性，因此，其可作为食品防腐剂不是由于其具有酸性，A说法不正确；
B．胶体具有丁达尔效应，是因为胶体粒子对光线发生了散射；豆浆属于胶体，因此，其能产生丁达尔效应是由于胶体粒子对光线的散射，B说法正确；
C．〔公式对象 F008〕可用于丝织品漂白是由于其能与丝织品中有色成分化合为不稳定的无色物质，C说法不正确；
D．维生素C具有很强的还原性，因此，其可用作水果罐头的抗氧化剂是由于其容易被氧气氧化，从而防止水果被氧化，D说法不正确；
综上所述，本题选B。</x:v>
      </x:c>
      <x:c r="K14" s="50" t="n">
        <x:v>0</x:v>
      </x:c>
      <x:c r="L14" s="50" t="n">
        <x:v>1</x:v>
      </x:c>
      <x:c r="M14" s="50" t="str">
        <x:v>化学基本概念</x:v>
      </x:c>
      <x:c r="N14" s="42" t="str">
        <x:v>化学基本概念&gt;化学与生活&gt;物质性质与用途</x:v>
      </x:c>
      <x:c r="O14" s="50" t="str">
        <x:v>easy</x:v>
      </x:c>
      <x:c r="P14" s="42" t="str">
        <x:v>考查物质性质与用途的直接识记或单步判断，条件明确，运算与推理量较小。</x:v>
      </x:c>
      <x:c r="Q14" s="50" t="str">
        <x:v>待审核</x:v>
      </x:c>
      <x:c r="R14" s="50" t="str">
        <x:v>待审核</x:v>
      </x:c>
      <x:c r="S14" s="43" t="str">
        <x:v>试题：E:\BISHE2026\题库\理综\2023年高考真题——理综（全国甲卷）Word版含解析.doc
答案解析：E:\BISHE2026\题库\理综\2023年高考真题——理综（全国甲卷）Word版含解析.doc</x:v>
      </x:c>
    </x:row>
    <x:row r="15" ht="72" customHeight="1">
      <x:c r="A15" s="49" t="str">
        <x:v>化学</x:v>
      </x:c>
      <x:c r="B15" s="50" t="n">
        <x:v>2023</x:v>
      </x:c>
      <x:c r="C15" s="50" t="str">
        <x:v>全国</x:v>
      </x:c>
      <x:c r="D15" s="50" t="str">
        <x:v>2023年高考真题——理综（全国甲卷）</x:v>
      </x:c>
      <x:c r="E15" s="50" t="str">
        <x:v>8</x:v>
      </x:c>
      <x:c r="F15" s="50" t="str">
        <x:v>单选题</x:v>
      </x:c>
      <x:c r="G15" s="42" t="str">
        <x:v>藿香蓟具有清热解毒功效，其有效成分结构如下。下列有关该物质的说法错误的是
〔图片对象 I009〕</x:v>
      </x:c>
      <x:c r="H15" s="42" t="str">
        <x:v>A. 可以发生水解反应
B. 所有碳原子处于同一平面
C. 含有2种含氧官能团
D. 能与溴水发生加成反应</x:v>
      </x:c>
      <x:c r="I15" s="42" t="str">
        <x:v>B</x:v>
      </x:c>
      <x:c r="J15" s="42" t="str">
        <x:v>【详解】A．藿香蓟的分子结构中含有酯基，因此其可以发生水解反应，A说法正确；
B．藿香蓟的分子结构中的右侧有一个饱和碳原子连接着两个甲基，类比甲烷分子的空间构型可知，藿香蓟分子中所有碳原子不可能处于同一平面，B说法错误；
C．藿香蓟的分子结构中含有酯基和醚键，因此其含有2种含氧官能团，C说法正确；
D．藿香蓟的分子结构中含有碳碳双键，因此，其能与溴水发生加成反应，D说法正确；
综上所述，本题选B。</x:v>
      </x:c>
      <x:c r="K15" s="50" t="n">
        <x:v>1</x:v>
      </x:c>
      <x:c r="L15" s="50" t="n">
        <x:v>0</x:v>
      </x:c>
      <x:c r="M15" s="50" t="str">
        <x:v>有机化学</x:v>
      </x:c>
      <x:c r="N15" s="42" t="str">
        <x:v>有机化学&gt;有机物结构与性质&gt;官能团</x:v>
      </x:c>
      <x:c r="O15" s="50" t="str">
        <x:v>medium</x:v>
      </x:c>
      <x:c r="P15" s="42" t="str">
        <x:v>需要提取题干或图表信息，并结合官能团完成两步左右的判断或计算。</x:v>
      </x:c>
      <x:c r="Q15" s="50" t="str">
        <x:v>待审核</x:v>
      </x:c>
      <x:c r="R15" s="50" t="str">
        <x:v>待审核</x:v>
      </x:c>
      <x:c r="S15" s="43" t="str">
        <x:v>试题：E:\BISHE2026\题库\理综\2023年高考真题——理综（全国甲卷）Word版含解析.doc
答案解析：E:\BISHE2026\题库\理综\2023年高考真题——理综（全国甲卷）Word版含解析.doc</x:v>
      </x:c>
    </x:row>
    <x:row r="16" ht="72" customHeight="1">
      <x:c r="A16" s="49" t="str">
        <x:v>化学</x:v>
      </x:c>
      <x:c r="B16" s="50" t="n">
        <x:v>2023</x:v>
      </x:c>
      <x:c r="C16" s="50" t="str">
        <x:v>全国</x:v>
      </x:c>
      <x:c r="D16" s="50" t="str">
        <x:v>2023年高考真题——理综（全国甲卷）</x:v>
      </x:c>
      <x:c r="E16" s="50" t="str">
        <x:v>9</x:v>
      </x:c>
      <x:c r="F16" s="50" t="str">
        <x:v>单选题</x:v>
      </x:c>
      <x:c r="G16" s="42" t="str">
        <x:v>实验室将粗盐提纯并配制〔公式对象 F010〕的〔公式对象 F011〕溶液。下列仪器中，本实验必须用到的有
①天平 ②温度计 ③坩埚 ④分液漏斗 ⑤容量瓶 ⑥烧杯 ⑦滴定管 ⑧酒精灯</x:v>
      </x:c>
      <x:c r="H16" s="42" t="str">
        <x:v>A. ①②④⑥
B. ①④⑤⑥
C. ②③⑦⑧
D. ①⑤⑥⑧</x:v>
      </x:c>
      <x:c r="I16" s="42" t="str">
        <x:v>D</x:v>
      </x:c>
      <x:c r="J16" s="42" t="str">
        <x:v>【详解】实验室将粗盐提纯时，需要将其溶于一定量的水中，然后将其中的硫酸根离子、钙离子、镁离子依次用稍过量的氯化钡溶液、碳酸钠溶液和氢氧化钠溶液除去，该过程中有过滤操作，需要用到烧杯、漏斗和玻璃棒；将所得滤液加适量盐酸酸化后蒸发结晶得到较纯的食盐，该过程要用到蒸发皿和酒精灯；用提纯后得到的精盐配制溶液的基本步骤有称量、溶解、转移、洗涤、定容、摇匀等操作，需要用到天平、容量瓶、烧杯、玻璃棒、胶头滴管等。综上所述，本实验必须用到的有①天平、⑤容量瓶、⑥烧杯、⑧酒精灯，因此本题选D。</x:v>
      </x:c>
      <x:c r="K16" s="50" t="n">
        <x:v>2</x:v>
      </x:c>
      <x:c r="L16" s="50" t="n">
        <x:v>0</x:v>
      </x:c>
      <x:c r="M16" s="50" t="str">
        <x:v>实验化学</x:v>
      </x:c>
      <x:c r="N16" s="42" t="str">
        <x:v>实验化学&gt;基本操作&gt;粗盐提纯与溶液配制</x:v>
      </x:c>
      <x:c r="O16" s="50" t="str">
        <x:v>easy</x:v>
      </x:c>
      <x:c r="P16" s="42" t="str">
        <x:v>考查粗盐提纯与溶液配制的直接识记或单步判断，条件明确，运算与推理量较小。</x:v>
      </x:c>
      <x:c r="Q16" s="50" t="str">
        <x:v>待审核</x:v>
      </x:c>
      <x:c r="R16" s="50" t="str">
        <x:v>待审核</x:v>
      </x:c>
      <x:c r="S16" s="43" t="str">
        <x:v>试题：E:\BISHE2026\题库\理综\2023年高考真题——理综（全国甲卷）Word版含解析.doc
答案解析：E:\BISHE2026\题库\理综\2023年高考真题——理综（全国甲卷）Word版含解析.doc</x:v>
      </x:c>
    </x:row>
    <x:row r="17" ht="72" customHeight="1">
      <x:c r="A17" s="49" t="str">
        <x:v>化学</x:v>
      </x:c>
      <x:c r="B17" s="50" t="n">
        <x:v>2023</x:v>
      </x:c>
      <x:c r="C17" s="50" t="str">
        <x:v>全国</x:v>
      </x:c>
      <x:c r="D17" s="50" t="str">
        <x:v>2023年高考真题——理综（全国甲卷）</x:v>
      </x:c>
      <x:c r="E17" s="50" t="str">
        <x:v>10</x:v>
      </x:c>
      <x:c r="F17" s="50" t="str">
        <x:v>单选题</x:v>
      </x:c>
      <x:c r="G17" s="42" t="str">
        <x:v>〔公式对象 F012〕为阿伏加德罗常数的值。下列叙述正确的是</x:v>
      </x:c>
      <x:c r="H17" s="42" t="str">
        <x:v>A. 〔公式对象 F014〕异丁烷分子中共价键的数目为〔公式对象 F015〕
B. 标准状况下，〔公式对象 F016〕中电子的数目为〔公式对象 F017〕
C. 〔公式对象 F018〕的〔公式对象 F019〕溶液中〔公式对象 F020〕的数目为〔公式对象 F021〕
D. 〔公式对象 F022〕的〔公式对象 F023〕溶液中〔公式对象 F024〕的数目为〔公式对象 F025〕</x:v>
      </x:c>
      <x:c r="I17" s="42" t="str">
        <x:v>A</x:v>
      </x:c>
      <x:c r="J17" s="42" t="str">
        <x:v>【详解】A．异丁烷的结构式为〔图片对象 I026〕，1mol异丁烷分子含有13NA共价键，所以0.50mol异丁烷分子中共价键的数目为6.5NA，A正确；
B．在标准状况下，SO₃状态为固态，不能计算出2.24L SO₃物质的量，故无法求出其电子数目，B错误；
C．pH=2的硫酸溶液中氢离子浓度为c(H⁺)=0.01mol/L，则1.0L pH=2的硫酸溶液中氢离子数目为0.01NA，C错误；
D．〔公式对象 F027〕属于强碱弱酸盐，在水溶液中CO〔公式对象 F028〕会发生水解，所以1.0L 1.0 mol/L的Na₂CO₃溶液中CO〔公式对象 F029〕的数目小于1.0NA，D错误；
故选A。</x:v>
      </x:c>
      <x:c r="K17" s="50" t="n">
        <x:v>13</x:v>
      </x:c>
      <x:c r="L17" s="50" t="n">
        <x:v>4</x:v>
      </x:c>
      <x:c r="M17" s="50" t="str">
        <x:v>化学基本概念</x:v>
      </x:c>
      <x:c r="N17" s="42" t="str">
        <x:v>化学基本概念&gt;物质的量&gt;阿伏加德罗常数</x:v>
      </x:c>
      <x:c r="O17" s="50" t="str">
        <x:v>medium</x:v>
      </x:c>
      <x:c r="P17" s="42" t="str">
        <x:v>需要提取题干或图表信息，并结合阿伏加德罗常数完成两步左右的判断或计算。</x:v>
      </x:c>
      <x:c r="Q17" s="50" t="str">
        <x:v>待审核</x:v>
      </x:c>
      <x:c r="R17" s="50" t="str">
        <x:v>待审核</x:v>
      </x:c>
      <x:c r="S17" s="43" t="str">
        <x:v>试题：E:\BISHE2026\题库\理综\2023年高考真题——理综（全国甲卷）Word版含解析.doc
答案解析：E:\BISHE2026\题库\理综\2023年高考真题——理综（全国甲卷）Word版含解析.doc</x:v>
      </x:c>
    </x:row>
    <x:row r="18" ht="72" customHeight="1">
      <x:c r="A18" s="49" t="str">
        <x:v>化学</x:v>
      </x:c>
      <x:c r="B18" s="50" t="n">
        <x:v>2023</x:v>
      </x:c>
      <x:c r="C18" s="50" t="str">
        <x:v>全国</x:v>
      </x:c>
      <x:c r="D18" s="50" t="str">
        <x:v>2023年高考真题——理综（全国甲卷）</x:v>
      </x:c>
      <x:c r="E18" s="50" t="str">
        <x:v>11</x:v>
      </x:c>
      <x:c r="F18" s="50" t="str">
        <x:v>单选题</x:v>
      </x:c>
      <x:c r="G18" s="42" t="str">
        <x:v>W、X、Y、Z为短周期主族元素，原子序数依次增大，最外层电子数之和为19。Y的最外层电子数与其K层电子数相等，WX₂是形成酸雨的物质之一。下列说法正确的是</x:v>
      </x:c>
      <x:c r="H18" s="42" t="str">
        <x:v>A. 原子半径：〔公式对象 F030〕
B. 简单氢化物的沸点：〔公式对象 F031〕
C. 〔公式对象 F032〕与〔公式对象 F033〕可形成离子化合物
D. 〔公式对象 F034〕的最高价含氧酸是弱酸</x:v>
      </x:c>
      <x:c r="I18" s="42" t="str">
        <x:v>C</x:v>
      </x:c>
      <x:c r="J18" s="42" t="str">
        <x:v>【分析】W、X、Y、Z为短周期主族元素，原子序数依次增大，WX₂是形成酸雨的物质之一，根据原子序数的规律，则W为N，X为O，Y的最外层电子数与其K层电子数相等，又因为Y的原子序数大于氧的，则Y电子层为3层，最外层电子数为2，所以Y为Mg，四种元素最外层电子数之和为19，则Z的最外层电子数为6，Z为S，据此解答。
【详解】A．X为O，W为N，同周期从左往右，原子半径依次减小，所以半径大小为W＞X，A错误；
B．X为O，Z为S，X的简单氢化物为H₂O，含有分子间氢键，Z的简单氢化物为H₂S，没有氢键，所以简单氢化物的沸点为X＞Z，B错误；
C．Y为Mg，X为O，他们可形成MgO，为离子化合物，C正确；
D．Z为S，硫的最高价含氧酸为硫酸，是强酸，D错误；
故选C。</x:v>
      </x:c>
      <x:c r="K18" s="50" t="n">
        <x:v>5</x:v>
      </x:c>
      <x:c r="L18" s="50" t="n">
        <x:v>0</x:v>
      </x:c>
      <x:c r="M18" s="50" t="str">
        <x:v>物质结构</x:v>
      </x:c>
      <x:c r="N18" s="42" t="str">
        <x:v>物质结构&gt;元素周期律&gt;短周期元素推断</x:v>
      </x:c>
      <x:c r="O18" s="50" t="str">
        <x:v>medium</x:v>
      </x:c>
      <x:c r="P18" s="42" t="str">
        <x:v>需要提取题干或图表信息，并结合短周期元素推断完成两步左右的判断或计算。</x:v>
      </x:c>
      <x:c r="Q18" s="50" t="str">
        <x:v>待审核</x:v>
      </x:c>
      <x:c r="R18" s="50" t="str">
        <x:v>待审核</x:v>
      </x:c>
      <x:c r="S18" s="43" t="str">
        <x:v>试题：E:\BISHE2026\题库\理综\2023年高考真题——理综（全国甲卷）Word版含解析.doc
答案解析：E:\BISHE2026\题库\理综\2023年高考真题——理综（全国甲卷）Word版含解析.doc</x:v>
      </x:c>
    </x:row>
    <x:row r="19" ht="72" customHeight="1">
      <x:c r="A19" s="49" t="str">
        <x:v>化学</x:v>
      </x:c>
      <x:c r="B19" s="50" t="n">
        <x:v>2023</x:v>
      </x:c>
      <x:c r="C19" s="50" t="str">
        <x:v>全国</x:v>
      </x:c>
      <x:c r="D19" s="50" t="str">
        <x:v>2023年高考真题——理综（全国甲卷）</x:v>
      </x:c>
      <x:c r="E19" s="50" t="str">
        <x:v>12</x:v>
      </x:c>
      <x:c r="F19" s="50" t="str">
        <x:v>单选题</x:v>
      </x:c>
      <x:c r="G19" s="42" t="str">
        <x:v>用可再生能源电还原〔公式对象 F035〕时，采用高浓度的〔公式对象 F036〕抑制酸性电解液中的析氢反应来提高多碳产物(乙烯、乙醇等)的生成率，装置如下图所示。下列说法正确的是
〔图片对象 I037〕</x:v>
      </x:c>
      <x:c r="H19" s="42" t="str">
        <x:v>A. 析氢反应发生在〔公式对象 F038〕电极上
B. 〔公式对象 F039〕从〔公式对象 F040〕电极迁移到〔公式对象 F041〕电极
C. 阴极发生的反应有：〔公式对象 F042〕
D. 每转移〔公式对象 F043〕电子，阳极生成〔公式对象 F044〕气体(标准状况)</x:v>
      </x:c>
      <x:c r="I19" s="42" t="str">
        <x:v>C</x:v>
      </x:c>
      <x:c r="J19" s="42" t="str">
        <x:v>【分析】由图可知，该装置为电解池，与直流电源正极相连的IrOx-Ti电极为电解池的阳极，水在阳极失去电子发生氧化反应生成氧气和氢离子，电极反应式为2H₂O-4e—=O₂↑+4H⁺，铜电极为阴极，酸性条件下二氧化碳在阴极得到电子发生还原反应生成乙烯、乙醇等，电极反应式为2CO₂+12H⁺+12e−=C₂H₄+4H₂O、2CO₂+12H⁺+12e−=C₂H₅OH+3H₂O，电解池工作时，氢离子通过质子交换膜由阳极室进入阴极室。
【详解】A．析氢反应为还原反应，应在阴极发生，即在铜电极上发生，故A错误；
B．离子交换膜为质子交换膜，只允许氢离子通过，Cl⁻不能通过，故B错误；
C．由分析可知，铜电极为阴极，酸性条件下二氧化碳在阴极得到电子发生还原反应生成乙烯、乙醇等，电极反应式有2CO₂+12H⁺+12e−=C₂H₄+4H₂O，故C正确；
D．水在阳极失去电子发生氧化反应生成氧气和氢离子，电极反应式为2H₂O-4e—=O₂↑+4H⁺，每转移1mol电子，生成0.25molO₂，在标况下体积为5.6L，故D错误；
答案选C。</x:v>
      </x:c>
      <x:c r="K19" s="50" t="n">
        <x:v>10</x:v>
      </x:c>
      <x:c r="L19" s="50" t="n">
        <x:v>0</x:v>
      </x:c>
      <x:c r="M19" s="50" t="str">
        <x:v>化学反应原理</x:v>
      </x:c>
      <x:c r="N19" s="42" t="str">
        <x:v>化学反应原理&gt;电化学&gt;电解池</x:v>
      </x:c>
      <x:c r="O19" s="50" t="str">
        <x:v>medium</x:v>
      </x:c>
      <x:c r="P19" s="42" t="str">
        <x:v>需要提取题干或图表信息，并结合电解池完成两步左右的判断或计算。</x:v>
      </x:c>
      <x:c r="Q19" s="50" t="str">
        <x:v>待审核</x:v>
      </x:c>
      <x:c r="R19" s="50" t="str">
        <x:v>待审核</x:v>
      </x:c>
      <x:c r="S19" s="43" t="str">
        <x:v>试题：E:\BISHE2026\题库\理综\2023年高考真题——理综（全国甲卷）Word版含解析.doc
答案解析：E:\BISHE2026\题库\理综\2023年高考真题——理综（全国甲卷）Word版含解析.doc</x:v>
      </x:c>
    </x:row>
    <x:row r="20" ht="72" customHeight="1">
      <x:c r="A20" s="49" t="str">
        <x:v>化学</x:v>
      </x:c>
      <x:c r="B20" s="50" t="n">
        <x:v>2023</x:v>
      </x:c>
      <x:c r="C20" s="50" t="str">
        <x:v>全国</x:v>
      </x:c>
      <x:c r="D20" s="50" t="str">
        <x:v>2023年高考真题——理综（全国甲卷）</x:v>
      </x:c>
      <x:c r="E20" s="50" t="str">
        <x:v>13</x:v>
      </x:c>
      <x:c r="F20" s="50" t="str">
        <x:v>单选题</x:v>
      </x:c>
      <x:c r="G20" s="42" t="str">
        <x:v>下图为〔公式对象 F045〕和〔公式对象 F046〕在水中达沉淀溶解平衡时的〔公式对象 F047〕关系图(〔公式对象 F048〕；〔公式对象 F049〕可认为〔公式对象 F050〕离子沉淀完全)。下列叙述正确的是
〔图片对象 I051〕</x:v>
      </x:c>
      <x:c r="H20" s="42" t="str">
        <x:v>A. 由〔公式对象 F052〕点可求得〔公式对象 F053〕
B. 〔公式对象 F054〕时〔公式对象 F055〕的溶解度为〔公式对象 F056〕
C. 浓度均为〔公式对象 F057〕的〔公式对象 F058〕和〔公式对象 F059〕可通过分步沉淀进行分离
D. 〔公式对象 F060〕混合溶液中〔公式对象 F061〕时二者不会同时沉淀</x:v>
      </x:c>
      <x:c r="I20" s="42" t="str">
        <x:v>C</x:v>
      </x:c>
      <x:c r="J20" s="42" t="str">
        <x:v>【详解】A．由点a(2，2.5)可知，此时pH=2，pOH=12，则〔公式对象 F062〕=〔公式对象 F063〕=〔公式对象 F064〕=〔公式对象 F065〕，故A错误；
B．由点(5，6)可知，此时pH=5，pOH=9，则〔公式对象 F066〕=〔公式对象 F067〕=〔公式对象 F068〕=〔公式对象 F069〕，〔公式对象 F070〕时〔公式对象 F071〕的溶解度为〔公式对象 F072〕=10⁻³〔公式对象 F073〕，故B错误；
C．由图可知，当铁离子完全沉淀时，铝离子尚未开始沉淀，可通过调节溶液pH的方法分步沉淀〔公式对象 F074〕和〔公式对象 F075〕，故C正确；
D．由图可知，〔公式对象 F076〕沉淀完全时，〔公式对象 F077〕，pM〔公式对象 F078〕5，此时pH约为4.7，在此pH下〔公式对象 F079〕刚开始沉淀的浓度为〔公式对象 F080〕，而题中〔公式对象 F081〕&gt;〔公式对象 F082〕，则〔公式对象 F083〕会同时沉淀，故D错误；
答案选C。
二、选择题：本题共8小题，每小题6分。在每小题给出的四个选项中，第14~18题只有一项符合题目要求，第19~21题有多项符合题目要求。全部选对的得6分，选对但不全的得3分，有选错或不答的得0分。</x:v>
      </x:c>
      <x:c r="K20" s="50" t="n">
        <x:v>17</x:v>
      </x:c>
      <x:c r="L20" s="50" t="n">
        <x:v>22</x:v>
      </x:c>
      <x:c r="M20" s="50" t="str">
        <x:v>化学反应原理</x:v>
      </x:c>
      <x:c r="N20" s="42" t="str">
        <x:v>化学反应原理&gt;水溶液中的离子平衡&gt;沉淀溶解平衡</x:v>
      </x:c>
      <x:c r="O20" s="50" t="str">
        <x:v>hard</x:v>
      </x:c>
      <x:c r="P20" s="42" t="str">
        <x:v>需要综合多个条件，围绕沉淀溶解平衡进行多环节推理、定量计算或实验分析。</x:v>
      </x:c>
      <x:c r="Q20" s="50" t="str">
        <x:v>待审核</x:v>
      </x:c>
      <x:c r="R20" s="50" t="str">
        <x:v>待审核</x:v>
      </x:c>
      <x:c r="S20" s="43" t="str">
        <x:v>试题：E:\BISHE2026\题库\理综\2023年高考真题——理综（全国甲卷）Word版含解析.doc
答案解析：E:\BISHE2026\题库\理综\2023年高考真题——理综（全国甲卷）Word版含解析.doc</x:v>
      </x:c>
    </x:row>
    <x:row r="21" ht="72" customHeight="1">
      <x:c r="A21" s="49" t="str">
        <x:v>化学</x:v>
      </x:c>
      <x:c r="B21" s="50" t="n">
        <x:v>2023</x:v>
      </x:c>
      <x:c r="C21" s="50" t="str">
        <x:v>全国</x:v>
      </x:c>
      <x:c r="D21" s="50" t="str">
        <x:v>2023年高考真题——理综（全国甲卷）</x:v>
      </x:c>
      <x:c r="E21" s="50" t="str">
        <x:v>26</x:v>
      </x:c>
      <x:c r="F21" s="50" t="str">
        <x:v>解答题</x:v>
      </x:c>
      <x:c r="G21" s="42" t="str">
        <x:v>〔公式对象 F219〕是一种压电材料。以〔公式对象 F220〕为原料，采用下列路线可制备粉状〔公式对象 F221〕。
〔图片对象 I222〕
回答下列问题：
（1）“焙烧”步骤中碳粉的主要作用是_______。
（2）“焙烧”后固体产物有〔公式对象 F223〕、易溶于水的〔公式对象 F224〕和微溶于水的〔公式对象 F225〕。“浸取”时主要反应的离子方程式为_______。
（3）“酸化”步骤应选用的酸是_______(填标号)。
a．稀硫酸 b．浓硫酸 c．盐酸 d．磷酸
（4）如果焙烧后的产物直接用酸浸取，是否可行？_______，其原因是_______。
（5）“沉淀”步骤中生成〔公式对象 F226〕的化学方程式为_______。
（6）“热分解”生成粉状钛酸钡，产生的〔公式对象 F227〕_______。</x:v>
      </x:c>
      <x:c r="H21" s="42" t="str"/>
      <x:c r="I21" s="42" t="str">
        <x:v>（1）做还原剂，将〔公式对象 F228〕还原
（2）〔公式对象 F229〕
（3）c （4） ①. 不可行 ②. 产物中的硫化物与酸反应生成的有毒气体〔公式对象 F230〕会污染空气，而且〔公式对象 F231〕与盐酸反应生成可溶于水的〔公式对象 F232〕，导致〔公式对象 F233〕溶液中混有〔公式对象 F234〕杂质无法除去、最终所得产品的纯度降低
（5）〔公式对象 F235〕〔公式对象 F236〕
（6）〔公式对象 F237〕</x:v>
      </x:c>
      <x:c r="J21" s="42" t="str">
        <x:v>【分析】由流程和题中信息可知，〔公式对象 F238〕与过量的碳粉及过量的氯化钙在高温下焙烧得到〔公式对象 F239〕、〔公式对象 F240〕、易溶于水的〔公式对象 F241〕和微溶于水的〔公式对象 F242〕；烧渣经水浸取后过滤，滤渣中碳粉和〔公式对象 F243〕，滤液中有〔公式对象 F244〕和〔公式对象 F245〕；滤液经酸化后浓缩结晶得到〔公式对象 F246〕晶体；〔公式对象 F247〕晶体溶于水后，加入〔公式对象 F248〕和〔公式对象 F249〕将钡离子充分沉淀得到〔公式对象 F250〕；〔公式对象 F251〕经热分解得到〔公式对象 F252〕。
【小问1详解】
“焙烧”步骤中，〔公式对象 F253〕与过量的碳粉及过量的氯化钙在高温下焙烧得到〔公式对象 F254〕、〔公式对象 F255〕、〔公式对象 F256〕和〔公式对象 F257〕，〔公式对象 F258〕被还原为〔公式对象 F259〕，因此，碳粉的主要作用是做还原剂，将〔公式对象 F260〕还原。
【小问2详解】
“焙烧”后固体产物有〔公式对象 F262〕、易溶于水的〔公式对象 F263〕和微溶于水的〔公式对象 F264〕。易溶于水的〔公式对象 F265〕 与过量的〔公式对象 F266〕可以发生复分解反应生成硫化钙沉淀，因此，“浸取”时主要反应的离子方程式为〔公式对象 F267〕。
【小问3详解】
“酸化”步骤是为了将〔公式对象 F268〕转化为易溶液于的钡盐，由于硫酸钡和磷酸钡均不溶于水，而〔公式对象 F269〕可溶于水，因此，应选用的酸是盐酸，选c。
【小问4详解】
如果焙烧后的产物直接用酸浸取是不可行的，其原因是：产物中的硫化物与酸反应生成的有毒气体〔公式对象 F270〕会污染空气，而且〔公式对象 F271〕与盐酸反应生成可溶于水的〔公式对象 F272〕，导致〔公式对象 F273〕溶液中混有〔公式对象 F274〕杂质无法除去、最终所得产品的纯度降低。
【小问5详解】
“沉淀”步骤中生成〔公式对象 F275〕的化学方程式为：〔公式对象 F276〕+〔公式对象 F277〕+〔公式对象 F278〕=〔公式对象 F279〕。
【小问6详解】
“热分解”生成粉状钛酸钡，该反应的化学方程式为，〔公式对象 F280〕，因此，产生的〔公式对象 F281〕 =〔公式对象 F282〕。</x:v>
      </x:c>
      <x:c r="K21" s="50" t="n">
        <x:v>9</x:v>
      </x:c>
      <x:c r="L21" s="50" t="n">
        <x:v>54</x:v>
      </x:c>
      <x:c r="M21" s="50" t="str">
        <x:v>实验化学</x:v>
      </x:c>
      <x:c r="N21" s="42" t="str">
        <x:v>实验化学&gt;化工流程&gt;无机物制备与除杂</x:v>
      </x:c>
      <x:c r="O21" s="50" t="str">
        <x:v>hard</x:v>
      </x:c>
      <x:c r="P21" s="42" t="str">
        <x:v>需要综合多个条件，围绕无机物制备与除杂进行多环节推理、定量计算或实验分析。</x:v>
      </x:c>
      <x:c r="Q21" s="50" t="str">
        <x:v>待审核</x:v>
      </x:c>
      <x:c r="R21" s="50" t="str">
        <x:v>待审核</x:v>
      </x:c>
      <x:c r="S21" s="43" t="str">
        <x:v>试题：E:\BISHE2026\题库\理综\2023年高考真题——理综（全国甲卷）Word版含解析.doc
答案解析：E:\BISHE2026\题库\理综\2023年高考真题——理综（全国甲卷）Word版含解析.doc</x:v>
      </x:c>
    </x:row>
    <x:row r="22" ht="72" customHeight="1">
      <x:c r="A22" s="49" t="str">
        <x:v>化学</x:v>
      </x:c>
      <x:c r="B22" s="50" t="n">
        <x:v>2023</x:v>
      </x:c>
      <x:c r="C22" s="50" t="str">
        <x:v>全国</x:v>
      </x:c>
      <x:c r="D22" s="50" t="str">
        <x:v>2023年高考真题——理综（全国甲卷）</x:v>
      </x:c>
      <x:c r="E22" s="50" t="str">
        <x:v>27</x:v>
      </x:c>
      <x:c r="F22" s="50" t="str">
        <x:v>解答题</x:v>
      </x:c>
      <x:c r="G22" s="42" t="str">
        <x:v>钴配合物〔公式对象 F283〕溶于热水，在冷水中微溶，可通过如下反应制备：〔公式对象 F284〕。
具体步骤如下：
Ⅰ．称取〔公式对象 F285〕，用〔公式对象 F286〕水溶解。
Ⅱ．分批加入〔公式对象 F287〕后，将溶液温度降至〔公式对象 F288〕以下，加入〔公式对象 F289〕活性炭、〔公式对象 F290〕浓氨水，搅拌下逐滴加入〔公式对象 F291〕的双氧水。
Ⅲ．加热至〔公式对象 F292〕反应〔公式对象 F293〕。冷却，过滤。
Ⅳ．将滤得的固体转入含有少量盐酸的〔公式对象 F294〕沸水中，趁热过滤。
Ⅴ．滤液转入烧杯，加入〔公式对象 F295〕浓盐酸，冷却、过滤、干燥，得到橙黄色晶体。
回答下列问题：
（1）步骤Ⅰ中使用的部分仪器如下。
〔图片对象 I296〕
仪器a的名称是_______。加快NH₄Cl溶解的操作有_______。
（2）步骤Ⅱ中，将温度降至10℃以下以避免_______、_______；可选用_______降低溶液温度。
（3）指出下列过滤操作中不规范之处：_______。
〔图片对象 I297〕
（4）步骤Ⅳ中，趁热过滤，除掉的不溶物主要为_______。
（5）步骤Ⅴ中加入浓盐酸的目的是_______。</x:v>
      </x:c>
      <x:c r="H22" s="42" t="str"/>
      <x:c r="I22" s="42" t="str">
        <x:v>（1） ①. 锥形瓶 ②. 升温，搅拌等
（2） ①. 浓氨水分解和挥发 ②. 双氧水分解 ③. 冰水浴
（3）玻璃棒没有紧靠三层滤纸处，漏斗末端较长处（尖嘴部分）没有紧靠在“盛滤液”的烧杯内壁
（4）活性炭 （5）利用同离子效应，促进钴配合物[Co(NH₃)₆]Cl₃尽可能完全析出，提高产率</x:v>
      </x:c>
      <x:c r="J22" s="42" t="str">
        <x:v>【分析】称取2.0g氯化铵，用5mL水溶解后，分批加入3.0g CoCl₂·6H₂O后，降温，在加入1g活性炭，7mL浓氨水，搅拌下逐滴加入10mL 6%的双氧水，加热反应20min，反应完成后，冷却，过滤，钴配合物在冷水中会析出固体，过滤所得固体为钴配合物[Co(NH₃)₆]Cl₃和活性炭的混合物，将所得固体转入有少量盐酸的沸水中，趁热过滤，除去活性炭，将滤液转入烧杯中，加入浓盐酸，可促进钴配合物[Co(NH₃)₆]Cl₃析出，提高产率，据此解答。
【小问1详解】
由图中仪器的结构特征可知，a为锥形瓶；加快氯化铵溶解可采用升温，搅拌等，故答案为：锥形瓶；升温，搅拌等；
【小问2详解】
步骤Ⅱ中使用了浓氨水和双氧水，他们高温下易挥发，易分解，所以控制在10℃以下，避免浓氨水分解和挥发，双氧水分解，要控制温度在10℃以下，通常采用冰水浴降温，故答案为：浓氨水分解和挥发；双氧水分解；冰水浴；
【小问3详解】
下图为过滤装置，图中玻璃棒没有紧靠三层滤纸处，可能戳破滤纸，造成过滤效果不佳。还有漏斗末端较长处（尖嘴部分）没有紧靠在“盛滤液”的烧杯内壁，可能导致液滴飞溅，故答案为：玻璃棒没有紧靠三层滤纸处，漏斗末端较长处（尖嘴部分）没有紧靠在“盛滤液”的烧杯内壁；
【小问4详解】
步骤Ⅳ中，将所得固体转入有少量盐酸的沸水中，根据题目信息，钴配合物[Co(NH₃)₆]Cl₃溶于热水，活性炭不溶于热水，所以趁热过滤可除去活性炭，故答案为：活性炭；
【小问5详解】
步骤Ⅴ中，将滤液转入烧杯，由于钴配合物为[Co(NH₃)₆]Cl₃中含有氯离子，加入4mL浓盐酸，可利用同离子效应，促进钴配合物[Co(NH₃)₆]Cl₃尽可能完全析出，提高产率，钴答案为：利用同离子效应，促进钴配合物[Co(NH₃)₆]Cl₃尽可能完全析出，提高产率。</x:v>
      </x:c>
      <x:c r="K22" s="50" t="n">
        <x:v>15</x:v>
      </x:c>
      <x:c r="L22" s="50" t="n">
        <x:v>0</x:v>
      </x:c>
      <x:c r="M22" s="50" t="str">
        <x:v>实验化学</x:v>
      </x:c>
      <x:c r="N22" s="42" t="str">
        <x:v>实验化学&gt;物质制备&gt;配合物制备与分离</x:v>
      </x:c>
      <x:c r="O22" s="50" t="str">
        <x:v>hard</x:v>
      </x:c>
      <x:c r="P22" s="42" t="str">
        <x:v>需要综合多个条件，围绕配合物制备与分离进行多环节推理、定量计算或实验分析。</x:v>
      </x:c>
      <x:c r="Q22" s="50" t="str">
        <x:v>待审核</x:v>
      </x:c>
      <x:c r="R22" s="50" t="str">
        <x:v>待审核</x:v>
      </x:c>
      <x:c r="S22" s="43" t="str">
        <x:v>试题：E:\BISHE2026\题库\理综\2023年高考真题——理综（全国甲卷）Word版含解析.doc
答案解析：E:\BISHE2026\题库\理综\2023年高考真题——理综（全国甲卷）Word版含解析.doc</x:v>
      </x:c>
    </x:row>
    <x:row r="23" ht="72" customHeight="1">
      <x:c r="A23" s="49" t="str">
        <x:v>化学</x:v>
      </x:c>
      <x:c r="B23" s="50" t="n">
        <x:v>2023</x:v>
      </x:c>
      <x:c r="C23" s="50" t="str">
        <x:v>全国</x:v>
      </x:c>
      <x:c r="D23" s="50" t="str">
        <x:v>2023年高考真题——理综（全国甲卷）</x:v>
      </x:c>
      <x:c r="E23" s="50" t="str">
        <x:v>28</x:v>
      </x:c>
      <x:c r="F23" s="50" t="str">
        <x:v>解答题</x:v>
      </x:c>
      <x:c r="G23" s="42" t="str">
        <x:v>甲烷选择性氧化制备甲醇是一种原子利用率高的方法。回答下列问题：
（1）已知下列反应的热化学方程式：
①〔公式对象 F299〕 〔公式对象 F300〕 〔公式对象 F301〕
②〔公式对象 F302〕 〔公式对象 F303〕 〔公式对象 F304〕
反应③〔公式对象 F305〕的〔公式对象 F306〕_______〔公式对象 F307〕，平衡常数〔公式对象 F308〕_______(用〔公式对象 F309〕表示)。
（2）电喷雾电离等方法得到的〔公式对象 F310〕(〔公式对象 F311〕等)与〔公式对象 F312〕反应可得〔公式对象 F313〕。〔公式对象 F314〕与〔公式对象 F315〕反应能高选择性地生成甲醇。分别在〔公式对象 F316〕和〔公式对象 F317〕下(其他反应条件相同)进行反应〔公式对象 F318〕，结果如下图所示。图中〔公式对象 F319〕的曲线是_______(填“a”或“b”。〔公式对象 F320〕、〔公式对象 F321〕时〔公式对象 F322〕的转化率为_______(列出算式)。
〔图片对象 I323〕
（3）〔公式对象 F324〕分别与〔公式对象 F325〕反应，体系的能量随反应进程的变化如下图所示(两者历程相似，图中以〔公式对象 F326〕示例)。
〔图片对象 I327〕
(ⅰ)步骤Ⅰ和Ⅱ中涉及氢原子成键变化的是_______(填“Ⅰ”或“Ⅱ”)。
(ⅱ)直接参与化学键变化的元素被替换为更重的同位素时，反应速率会变慢，则〔公式对象 F328〕与〔公式对象 F329〕反应的能量变化应为图中曲线_______(填“c”或“d”)。
(ⅲ)〔公式对象 F330〕与〔公式对象 F331〕反应，氘代甲醇的产量〔公式对象 F332〕_______〔公式对象 F333〕(填“＞”“＜”或“=”)。若〔公式对象 F334〕与〔公式对象 F335〕反应，生成的氘代甲醇有_______种。</x:v>
      </x:c>
      <x:c r="H23" s="42" t="str"/>
      <x:c r="I23" s="42" t="str">
        <x:v>（1） ①. 〔公式对象 F336〕 ②. 〔公式对象 F337〕或〔公式对象 F338〕
（2） ①. b ②. 〔公式对象 F339〕
（3） ①. Ⅰ ②. c ③. ＜ ④. 2</x:v>
      </x:c>
      <x:c r="J23" s="42" t="str">
        <x:v>【小问1详解】
根据盖斯定律可知，反应③=〔公式对象 F340〕(反应②-①)，所以对应〔公式对象 F341〕〔公式对象 F342〕；根据平衡常数表达式与热化学方程式之间的关系可知，对应化学平衡常数〔公式对象 F343〕或〔公式对象 F344〕，故答案为：〔公式对象 F345〕；〔公式对象 F346〕或〔公式对象 F347〕；
【小问2详解】
根据图示信息可知，纵坐标表示-lg(〔公式对象 F348〕)，即与MO⁺的微粒分布系数成反比，与M⁺的微粒分布系数成正比。则同一时间内，b曲线生成M⁺的物质的量浓度比a曲线的小，证明化学反应速率慢，又因同一条件下降低温度化学反应速率减慢，所以曲线b表示的是300 K条件下的反应；
根据上述分析结合图像可知，〔公式对象 F349〕、〔公式对象 F350〕时-lg(〔公式对象 F351〕)=0.1，则〔公式对象 F352〕=10⁻⁰.¹，利用数学关系式可求出〔公式对象 F353〕，根据反应〔公式对象 F354〕可知，生成的M⁺即为转化的〔公式对象 F355〕，则〔公式对象 F356〕的转化率为〔公式对象 F357〕；故答案为：b；〔公式对象 F358〕；
【小问3详解】
(ⅰ)步骤Ⅰ涉及的是碳氢键的断裂和氢氧键的形成，步骤Ⅱ中涉及碳氧键形成，所以符合题意的是步骤Ⅰ；
(ⅱ)直接参与化学键变化的元素被替换为更重的同位素时，反应速率会变慢，则此时正反应活化能会增大，根据图示可知，〔公式对象 F359〕与〔公式对象 F360〕反应的能量变化应为图中曲线c；
(ⅲ)〔公式对象 F361〕与〔公式对象 F362〕反应时，因直接参与化学键变化的元素被替换为更重的同位素时，反应速率会变慢，则单位时间内产量会下降，则氘代甲醇的产量〔公式对象 F363〕＜〔公式对象 F364〕；根据反应机理可知，若〔公式对象 F365〕与〔公式对象 F366〕反应，生成的氘代甲醇可能为〔公式对象 F367〕或〔公式对象 F368〕共2种，故答案为：＜；2。</x:v>
      </x:c>
      <x:c r="K23" s="50" t="n">
        <x:v>37</x:v>
      </x:c>
      <x:c r="L23" s="50" t="n">
        <x:v>33</x:v>
      </x:c>
      <x:c r="M23" s="50" t="str">
        <x:v>化学反应原理</x:v>
      </x:c>
      <x:c r="N23" s="42" t="str">
        <x:v>化学反应原理&gt;热化学&gt;盖斯定律；化学反应原理&gt;化学动力学&gt;同位素效应</x:v>
      </x:c>
      <x:c r="O23" s="50" t="str">
        <x:v>hard</x:v>
      </x:c>
      <x:c r="P23" s="42" t="str">
        <x:v>需要综合多个条件，围绕盖斯定律进行多环节推理、定量计算或实验分析。</x:v>
      </x:c>
      <x:c r="Q23" s="50" t="str">
        <x:v>待审核</x:v>
      </x:c>
      <x:c r="R23" s="50" t="str">
        <x:v>待审核</x:v>
      </x:c>
      <x:c r="S23" s="43" t="str">
        <x:v>试题：E:\BISHE2026\题库\理综\2023年高考真题——理综（全国甲卷）Word版含解析.doc
答案解析：E:\BISHE2026\题库\理综\2023年高考真题——理综（全国甲卷）Word版含解析.doc</x:v>
      </x:c>
    </x:row>
    <x:row r="24" ht="72" customHeight="1">
      <x:c r="A24" s="49" t="str">
        <x:v>化学</x:v>
      </x:c>
      <x:c r="B24" s="50" t="n">
        <x:v>2023</x:v>
      </x:c>
      <x:c r="C24" s="50" t="str">
        <x:v>全国</x:v>
      </x:c>
      <x:c r="D24" s="50" t="str">
        <x:v>2023年高考真题——理综（全国甲卷）</x:v>
      </x:c>
      <x:c r="E24" s="50" t="str">
        <x:v>35</x:v>
      </x:c>
      <x:c r="F24" s="50" t="str">
        <x:v>解答题</x:v>
      </x:c>
      <x:c r="G24" s="42" t="str">
        <x:v>[化学——选修3：物质结构与性质]
将酞菁—钴钛—三氯化铝复合嵌接在碳纳米管上，制得一种高效催化还原二氧化碳的催化剂。回答下列问题：
（1）图1所示的几种碳单质，它们互为_______，其中属于原子晶体的是_______，〔公式对象 F403〕间的作用力是_______。
〔图片对象 I404〕
（2）酞菁和钴酞菁的分子结构如图2所示。
〔图片对象 I405〕
酞菁分子中所有原子共平面，其中〔公式对象 F406〕轨道能提供一对电子的〔公式对象 F407〕原子是_______(填图2酞菁中〔公式对象 F408〕原子的标号)。钴酞菁分子中，钴离子的化合价为_______，氮原子提供孤对电子与钴离子形成_______键。
（3）气态〔公式对象 F409〕通常以二聚体〔公式对象 F410〕的形式存在，其空间结构如图3a所示，二聚体中〔公式对象 F411〕的轨道杂化类型为_______。〔公式对象 F412〕的熔点为〔公式对象 F413〕，远高于〔公式对象 F414〕的〔公式对象 F415〕，由此可以判断铝氟之间的化学键为_______键。〔公式对象 F416〕结构属立方晶系，晶胞如图3b所示，〔公式对象 F417〕的配位数为_______。若晶胞参数为〔公式对象 F418〕，晶体密度〔公式对象 F419〕_______〔公式对象 F420〕(列出计算式，阿伏加德罗常数的值为〔公式对象 F421〕)。
〔图片对象 I422〕</x:v>
      </x:c>
      <x:c r="H24" s="42" t="str"/>
      <x:c r="I24" s="42" t="str">
        <x:v>（1） ①. 同素异形体 ②. 金刚石 ③. 范德华力
（2） ①. ③ ②. +2 ③. 配位
（3） ①. 〔公式对象 F423〕 ②. 离子 ③. 2 ④. 〔公式对象 F424〕</x:v>
      </x:c>
      <x:c r="J24" s="42" t="str">
        <x:v>【小问1详解】
同一元素形成的不同单质之间互为同素异形体。图1所示的几种碳单质，它们的组成元素均为碳元素，因此，它们互为同素异形体；其中金刚石属于原子晶体，石墨属于混合型晶体，〔公式对象 F425〕属于分子晶体，碳纳米管不属于原子晶体；〔公式对象 F426〕间的作用力是范德华力；
【小问2详解】
已知酞菁分子中所有原子共平面，则其分子中所有的C原子和所有的N原子均为〔公式对象 F427〕杂化，且分子中存在大π键，其中标号为①和②的N原子均有一对电子占据了一个〔公式对象 F428〕杂化轨道，其p轨道只能提供1个电子参与形成大π键，标号为③的N原子的 p轨道能提供一对电子参与形成大π键，因此标号为③的N原子形成的N—H键易断裂从而电离出〔公式对象 F429〕；钴酞菁分子中，失去了2个〔公式对象 F430〕的酞菁离子与钴离子通过配位键结合成分子，因此，钴离子的化合价为+2，氮原子提供孤对电子与钴离子形成配位键。
【小问3详解】
由〔公式对象 F432〕的空间结构结合相关元素的原子结构可知，Al原子价层电子对数是4，其与其周围的4个氯原子形成四面体结构，因此，二聚体中A1的轨道杂化类型为〔公式对象 F433〕。AlF₃的熔点为1090℃，远高于AlCl₃的192℃，由于F的电负性最大，其吸引电子的能力最强，因此，可以判断铝氟之间的化学键为离子键。由AlF₃的晶胞结构可知，其中含灰色球的个数为〔公式对象 F434〕，红色球的个数为〔公式对象 F435〕，则灰色的球为〔公式对象 F436〕，距〔公式对象 F437〕最近且等距的〔公式对象 F438〕有2个，则〔公式对象 F439〕的配位数为2。若晶胞参数为a pm，则晶胞的体积为〔公式对象 F440〕，晶胞的质量为〔公式对象 F441〕，则其晶体密度〔公式对象 F442〕。</x:v>
      </x:c>
      <x:c r="K24" s="50" t="n">
        <x:v>20</x:v>
      </x:c>
      <x:c r="L24" s="50" t="n">
        <x:v>19</x:v>
      </x:c>
      <x:c r="M24" s="50" t="str">
        <x:v>物质结构</x:v>
      </x:c>
      <x:c r="N24" s="42" t="str">
        <x:v>物质结构&gt;结构与性质&gt;配位键、杂化与晶胞</x:v>
      </x:c>
      <x:c r="O24" s="50" t="str">
        <x:v>hard</x:v>
      </x:c>
      <x:c r="P24" s="42" t="str">
        <x:v>需要综合多个条件，围绕配位键、杂化与晶胞进行多环节推理、定量计算或实验分析。</x:v>
      </x:c>
      <x:c r="Q24" s="50" t="str">
        <x:v>待审核</x:v>
      </x:c>
      <x:c r="R24" s="50" t="str">
        <x:v>待审核</x:v>
      </x:c>
      <x:c r="S24" s="43" t="str">
        <x:v>试题：E:\BISHE2026\题库\理综\2023年高考真题——理综（全国甲卷）Word版含解析.doc
答案解析：E:\BISHE2026\题库\理综\2023年高考真题——理综（全国甲卷）Word版含解析.doc</x:v>
      </x:c>
    </x:row>
    <x:row r="25" ht="72" customHeight="1">
      <x:c r="A25" s="49" t="str">
        <x:v>化学</x:v>
      </x:c>
      <x:c r="B25" s="50" t="n">
        <x:v>2023</x:v>
      </x:c>
      <x:c r="C25" s="50" t="str">
        <x:v>全国</x:v>
      </x:c>
      <x:c r="D25" s="50" t="str">
        <x:v>2023年高考真题——理综（全国甲卷）</x:v>
      </x:c>
      <x:c r="E25" s="50" t="str">
        <x:v>36</x:v>
      </x:c>
      <x:c r="F25" s="50" t="str">
        <x:v>解答题</x:v>
      </x:c>
      <x:c r="G25" s="42" t="str">
        <x:v>[化学——选修5：有机化学基础]
阿佐塞米(化合物L)是一种可用于治疗心脏、肝脏和肾脏病引起的水肿的药物。L的一种合成路线如下(部分试剂和条件略去)。
〔图片对象 I443〕
已知：R-COOH〔公式对象 F444〕R-COCl〔公式对象 F445〕R-CONH₂
回答下列问题：
（1）A的化学名称是_______。
（2）由A生成B的化学方程式为_______。
（3）反应条件D应选择_______(填标号)。
a．HNO₃/H₂SO₄ b．Fe/HCl c．NaOH/C₂H₅OH d．AgNO₃/NH₃
（4）F中含氧官能团的名称是_______。
（5）H生成I的反应类型为_______。
（6）化合物J的结构简式为_______。
（7）具有相同官能团的B的芳香同分异构体还有_______种(不考虑立体异构，填标号)。
a．10 b．12 c．14 d．16
其中，核磁共振氢谱显示4组峰，且峰面积比为2：2：1：1的同分异构体结构简式为_______。</x:v>
      </x:c>
      <x:c r="H25" s="42" t="str"/>
      <x:c r="I25" s="42" t="str">
        <x:v>（1）邻硝基甲苯(2-硝基甲苯)
（2）〔图片对象 I446〕+Cl₂〔公式对象 F447〕〔图片对象 I448〕+HCl
（3）b （4）羧基
（5）消去反应 （6）〔图片对象 I449〕
（7） ①. d
②. 〔图片对象 I450〕</x:v>
      </x:c>
      <x:c r="J25" s="42" t="str">
        <x:v>【分析】根据有机物C的结构，有机物B被酸性高锰酸钾氧化为C，则有机物B为〔图片对象 I451〕，有机物B由有机物A与Cl₂发生取代反应得到的，有机物A为〔图片对象 I452〕，有机物E为有机物C发生还原反应得到的，有机物E经一系列反应得到有机物G，根据已知条件，有机物G发生两步反应得到有机物H，有机物G与SOCl₂发生第一步反应得到中间体〔图片对象 I453〕，中间体〔图片对象 I454〕与氨水发生反应得到有机物H，有机物H的结构为〔图片对象 I455〕，有机物I与有机物J发生反应得到有机物K，根据有机物I、K的结构和有机物J的分子式可以得到有机物J的结构，有机物J的结构为〔图片对象 I456〕，有机物K经后续反应得到目标化合物阿佐塞米(有机物L)，据此分析解题。
【小问1详解】
根据分析，有机物A的结构式为〔图片对象 I457〕，该有机物的化学名称为邻硝基甲苯(2-硝基甲苯)。
【小问2详解】
根据分析，有机物A发生反应生成有机物B为取代反应，反应的化学方程式为〔图片对象 I458〕+Cl₂〔公式对象 F459〕〔图片对象 I460〕+HCl。
【小问3详解】
根据分析，有机物C发生生成有机物E的反应为还原反应，根据反应定义，该反应为一个加氢的反应，因此该反应的反应条件D应为b：Fe/HCl，a一般为硝化反应(取代反应)的反应条件，c一般为卤代烃的消去反应的反应条件，d一般为醛基的鉴别反应(银镜反应)的反应条件，故答案为b。
【小问4详解】
有机物F中的含氧官能团为-COOH，名称为羧基。
【小问5详解】
有机物H反应生成有机物I的反应作用在有机物H的酰胺处，该处于POCl₃发生消去反应脱水得到氰基，故答案为消去反应。
【小问6详解】
根据分析可知有机物J的结构简式为〔图片对象 I461〕。
【小问7详解】
与分子式为C₇H₆ClNO₂的芳香同分异构体且含有-Cl、-NO₂两种官能团共有17种，分别为：〔图片对象 I462〕(有机物B)、〔图片对象 I463〕、〔图片对象 I464〕、〔图片对象 I465〕、〔图片对象 I466〕、〔图片对象 I467〕、〔图片对象 I468〕、〔图片对象 I469〕、〔图片对象 I470〕、〔图片对象 I471〕、〔图片对象 I472〕、〔图片对象 I473〕、〔图片对象 I474〕、〔图片对象 I475〕、〔图片对象 I476〕、〔图片对象 I477〕、〔图片对象 I478〕，除有机物B外，其同分异构体的个数为16个；在这些同分异构体中核磁共振氢谱的峰面积比为2：2：1：1，说明其结构中有4种化学环境的H原子，该物质应为一种对称结结构，则该物质为〔图片对象 I479〕。</x:v>
      </x:c>
      <x:c r="K25" s="50" t="n">
        <x:v>3</x:v>
      </x:c>
      <x:c r="L25" s="50" t="n">
        <x:v>34</x:v>
      </x:c>
      <x:c r="M25" s="50" t="str">
        <x:v>有机化学</x:v>
      </x:c>
      <x:c r="N25" s="42" t="str">
        <x:v>有机化学&gt;有机合成&gt;反应类型与同分异构体</x:v>
      </x:c>
      <x:c r="O25" s="50" t="str">
        <x:v>hard</x:v>
      </x:c>
      <x:c r="P25" s="42" t="str">
        <x:v>需要综合多个条件，围绕反应类型与同分异构体进行多环节推理、定量计算或实验分析。</x:v>
      </x:c>
      <x:c r="Q25" s="50" t="str">
        <x:v>待审核</x:v>
      </x:c>
      <x:c r="R25" s="50" t="str">
        <x:v>待审核</x:v>
      </x:c>
      <x:c r="S25" s="43" t="str">
        <x:v>试题：E:\BISHE2026\题库\理综\2023年高考真题——理综（全国甲卷）Word版含解析.doc
答案解析：E:\BISHE2026\题库\理综\2023年高考真题——理综（全国甲卷）Word版含解析.doc</x:v>
      </x:c>
    </x:row>
    <x:row r="26" ht="72" customHeight="1">
      <x:c r="A26" s="49" t="str">
        <x:v>化学</x:v>
      </x:c>
      <x:c r="B26" s="50" t="n">
        <x:v>2024</x:v>
      </x:c>
      <x:c r="C26" s="50" t="str">
        <x:v>全国</x:v>
      </x:c>
      <x:c r="D26" s="50" t="str">
        <x:v>2024年高考真题——理综（新课标卷）</x:v>
      </x:c>
      <x:c r="E26" s="50" t="str">
        <x:v>7</x:v>
      </x:c>
      <x:c r="F26" s="50" t="str">
        <x:v>单选题</x:v>
      </x:c>
      <x:c r="G26" s="42" t="str">
        <x:v>文房四宝是中华传统文化的瑰宝。下列有关叙述错误的是</x:v>
      </x:c>
      <x:c r="H26" s="42" t="str">
        <x:v>A. 羊毛可用于制毛笔，主要成分为蛋白质
B. 松木可用于制墨，墨的主要成分是单质碳
C. 竹子可用于造纸，纸的主要成分是纤维素
D. 大理石可用于制砚台，主要成分为硅酸盐</x:v>
      </x:c>
      <x:c r="I26" s="42" t="str">
        <x:v>D</x:v>
      </x:c>
      <x:c r="J26" s="42" t="str">
        <x:v>【详解】A．动物的毛、皮、角等的主要成分都是蛋白质，羊毛的主要成分为蛋白质，A正确；
B．墨的主要成分是炭黑，炭黑是碳元素的一种单质，碳的单质在常温下的化学性质很稳定，不易与其他物质发生化学反应，故用墨汁书写的字画历经千年仍不褪色，B正确；
C．竹子可用于造纸，竹子的主要成分是纤维素，用其造的纸的主要成分也是纤维素，C正确；
D．大理石可用于制砚台，大理石主要成分为碳酸钙，不是硅酸盐，D错误；
故选D。</x:v>
      </x:c>
      <x:c r="K26" s="50" t="n">
        <x:v>0</x:v>
      </x:c>
      <x:c r="L26" s="50" t="n">
        <x:v>0</x:v>
      </x:c>
      <x:c r="M26" s="50" t="str">
        <x:v>化学基本概念</x:v>
      </x:c>
      <x:c r="N26" s="42" t="str">
        <x:v>化学基本概念&gt;化学与社会&gt;传统材料</x:v>
      </x:c>
      <x:c r="O26" s="50" t="str">
        <x:v>easy</x:v>
      </x:c>
      <x:c r="P26" s="42" t="str">
        <x:v>考查传统材料的直接识记或单步判断，条件明确，运算与推理量较小。</x:v>
      </x:c>
      <x:c r="Q26" s="50" t="str">
        <x:v>待审核</x:v>
      </x:c>
      <x:c r="R26" s="50" t="str">
        <x:v>待审核</x:v>
      </x:c>
      <x:c r="S26" s="43" t="str">
        <x:v>试题：E:\BISHE2026\题库\理综\新增\2024年高考新课标理综真题（解析版）.docx
答案解析：E:\BISHE2026\题库\理综\新增\2024年高考新课标理综真题（解析版）.docx</x:v>
      </x:c>
    </x:row>
    <x:row r="27" ht="72" customHeight="1">
      <x:c r="A27" s="49" t="str">
        <x:v>化学</x:v>
      </x:c>
      <x:c r="B27" s="50" t="n">
        <x:v>2024</x:v>
      </x:c>
      <x:c r="C27" s="50" t="str">
        <x:v>全国</x:v>
      </x:c>
      <x:c r="D27" s="50" t="str">
        <x:v>2024年高考真题——理综（新课标卷）</x:v>
      </x:c>
      <x:c r="E27" s="50" t="str">
        <x:v>8</x:v>
      </x:c>
      <x:c r="F27" s="50" t="str">
        <x:v>单选题</x:v>
      </x:c>
      <x:c r="G27" s="42" t="str">
        <x:v>一种点击化学方法合成聚硫酸酯(W)的路线如下所示：
〔图片对象 I017〕
下列说法正确的是</x:v>
      </x:c>
      <x:c r="H27" s="42" t="str">
        <x:v>A. 双酚A是苯酚的同系物，可与甲醛发生聚合反应
B. 〔图片对象 I018〕催化聚合也可生成W
C. 生成W的反应③为缩聚反应，同时生成〔图片对象 I019〕
D. 在碱性条件下，W比聚苯乙烯更难降解</x:v>
      </x:c>
      <x:c r="I27" s="42" t="str">
        <x:v>B</x:v>
      </x:c>
      <x:c r="J27" s="42" t="str">
        <x:v>【详解】Ａ．同系物之间的官能团的种类与数目均相同，双酚A有2个羟基，故其不是苯酚的同系物，A不正确；
B．题干中两种有机物之间通过缩聚反应生成W，根据题干中的反应机理可知，〔图片对象 I020〕 也可以通过缩聚反应生成W，B正确；
C．生成W的反应③为缩聚反应，同时生成〔公式对象 F021〕，C不正确；
D．W为聚硫酸酯，酯类物质在碱性条件下可以发生水解反应，因此，在碱性条件下，W比聚苯乙烯易降解，D不正确；
综上所述，本题选B。</x:v>
      </x:c>
      <x:c r="K27" s="50" t="n">
        <x:v>3</x:v>
      </x:c>
      <x:c r="L27" s="50" t="n">
        <x:v>2</x:v>
      </x:c>
      <x:c r="M27" s="50" t="str">
        <x:v>有机化学</x:v>
      </x:c>
      <x:c r="N27" s="42" t="str">
        <x:v>有机化学&gt;高分子化学&gt;加聚反应与官能团</x:v>
      </x:c>
      <x:c r="O27" s="50" t="str">
        <x:v>medium</x:v>
      </x:c>
      <x:c r="P27" s="42" t="str">
        <x:v>需要提取题干或图表信息，并结合加聚反应与官能团完成两步左右的判断或计算。</x:v>
      </x:c>
      <x:c r="Q27" s="50" t="str">
        <x:v>待审核</x:v>
      </x:c>
      <x:c r="R27" s="50" t="str">
        <x:v>待审核</x:v>
      </x:c>
      <x:c r="S27" s="43" t="str">
        <x:v>试题：E:\BISHE2026\题库\理综\新增\2024年高考新课标理综真题（解析版）.docx
答案解析：E:\BISHE2026\题库\理综\新增\2024年高考新课标理综真题（解析版）.docx</x:v>
      </x:c>
    </x:row>
    <x:row r="28" ht="72" customHeight="1">
      <x:c r="A28" s="49" t="str">
        <x:v>化学</x:v>
      </x:c>
      <x:c r="B28" s="50" t="n">
        <x:v>2024</x:v>
      </x:c>
      <x:c r="C28" s="50" t="str">
        <x:v>全国</x:v>
      </x:c>
      <x:c r="D28" s="50" t="str">
        <x:v>2024年高考真题——理综（新课标卷）</x:v>
      </x:c>
      <x:c r="E28" s="50" t="str">
        <x:v>9</x:v>
      </x:c>
      <x:c r="F28" s="50" t="str">
        <x:v>单选题</x:v>
      </x:c>
      <x:c r="G28" s="42" t="str">
        <x:v>实验室中利用下图装置验证铁与水蒸气反应。下列说法错误的是
〔图片对象 I022〕</x:v>
      </x:c>
      <x:c r="H28" s="42" t="str">
        <x:v>A. 反应为〔公式对象 F023〕
B. 酒精灯移至湿棉花下方实验效果更好
C. 用木柴点燃肥皂泡检验生成的氢气
D. 使用硬质玻璃试管盛装还原铁粉</x:v>
      </x:c>
      <x:c r="I28" s="42" t="str">
        <x:v>B</x:v>
      </x:c>
      <x:c r="J28" s="42" t="str">
        <x:v>【详解】A．铁和水蒸气在高温下发生反应生成〔公式对象 F024〕和〔公式对象 F025〕，该反应的化学方程式为〔公式对象 F026〕，A正确；
B．酒精灯放在铁粉下方加热可以产生高温，且不影响水的蒸发，若移至湿棉花下方则难以产生高温，则实验效果不好，B错误；
C．用木柴点燃肥皂泡，若产生尖锐的爆鸣声，则可检验生成的气体为氢气，C正确；
D．由于该实验中的反应要在高温下发生，因此要使用硬质玻璃试管盛装还原铁粉，D正确；
故选B。</x:v>
      </x:c>
      <x:c r="K28" s="50" t="n">
        <x:v>2</x:v>
      </x:c>
      <x:c r="L28" s="50" t="n">
        <x:v>3</x:v>
      </x:c>
      <x:c r="M28" s="50" t="str">
        <x:v>实验化学</x:v>
      </x:c>
      <x:c r="N28" s="42" t="str">
        <x:v>实验化学&gt;气体制备与性质验证&gt;铁与水蒸气反应</x:v>
      </x:c>
      <x:c r="O28" s="50" t="str">
        <x:v>medium</x:v>
      </x:c>
      <x:c r="P28" s="42" t="str">
        <x:v>需要提取题干或图表信息，并结合铁与水蒸气反应完成两步左右的判断或计算。</x:v>
      </x:c>
      <x:c r="Q28" s="50" t="str">
        <x:v>待审核</x:v>
      </x:c>
      <x:c r="R28" s="50" t="str">
        <x:v>待审核</x:v>
      </x:c>
      <x:c r="S28" s="43" t="str">
        <x:v>试题：E:\BISHE2026\题库\理综\新增\2024年高考新课标理综真题（解析版）.docx
答案解析：E:\BISHE2026\题库\理综\新增\2024年高考新课标理综真题（解析版）.docx</x:v>
      </x:c>
    </x:row>
    <x:row r="29" ht="72" customHeight="1">
      <x:c r="A29" s="49" t="str">
        <x:v>化学</x:v>
      </x:c>
      <x:c r="B29" s="50" t="n">
        <x:v>2024</x:v>
      </x:c>
      <x:c r="C29" s="50" t="str">
        <x:v>全国</x:v>
      </x:c>
      <x:c r="D29" s="50" t="str">
        <x:v>2024年高考真题——理综（新课标卷）</x:v>
      </x:c>
      <x:c r="E29" s="50" t="str">
        <x:v>10</x:v>
      </x:c>
      <x:c r="F29" s="50" t="str">
        <x:v>单选题</x:v>
      </x:c>
      <x:c r="G29" s="42" t="str">
        <x:v>对于下列过程中发生的化学反应，相应离子方程式正确的是</x:v>
      </x:c>
      <x:c r="H29" s="42" t="str">
        <x:v>A. 试管壁上的银镜用稀硝酸清洗：〔公式对象 F027〕
B. 工业废水中的〔公式对象 F028〕用〔公式对象 F029〕去除：〔公式对象 F030〕
C. 海水提溴过程中将溴吹入〔公式对象 F031〕吸收塔：〔公式对象 F032〕
D. 用草酸标准溶液测定高锰酸钾溶液的浓度：〔公式对象 F033〕</x:v>
      </x:c>
      <x:c r="I29" s="42" t="str">
        <x:v>C</x:v>
      </x:c>
      <x:c r="J29" s="42" t="str">
        <x:v>【详解】A．试管壁上的银镜用稀硝酸清洗，银溶于稀硝酸生成硝酸银和一氧化氮 气体，该反应的离子方程式为〔公式对象 F034〕，A不正确；
B．由于〔公式对象 F035〕的溶解度远远小于〔公式对象 F036〕，因此，工业废水中的〔公式对象 F037〕用〔公式对象 F038〕去除，该反应的离子方程式为〔公式对象 F039〕，B不正确；
C．海水提溴过程中将溴吹入〔公式对象 F040〕吸收塔，〔公式对象 F041〕在水溶液中将〔公式对象 F042〕还原为〔公式对象 F043〕，该反应的离子方程式为〔公式对象 F044〕，C正确；
D．用草酸标准溶液测定高锰酸钾溶液的浓度，〔公式对象 F045〕被氧化为〔公式对象 F046〕，〔公式对象 F047〕属于弱酸，该反应的离子方程式为〔公式对象 F048〕，D不正确；
综上所述，本题选C。</x:v>
      </x:c>
      <x:c r="K29" s="50" t="n">
        <x:v>7</x:v>
      </x:c>
      <x:c r="L29" s="50" t="n">
        <x:v>15</x:v>
      </x:c>
      <x:c r="M29" s="50" t="str">
        <x:v>化学基本概念</x:v>
      </x:c>
      <x:c r="N29" s="42" t="str">
        <x:v>化学基本概念&gt;离子反应&gt;离子方程式</x:v>
      </x:c>
      <x:c r="O29" s="50" t="str">
        <x:v>medium</x:v>
      </x:c>
      <x:c r="P29" s="42" t="str">
        <x:v>需要提取题干或图表信息，并结合离子方程式完成两步左右的判断或计算。</x:v>
      </x:c>
      <x:c r="Q29" s="50" t="str">
        <x:v>待审核</x:v>
      </x:c>
      <x:c r="R29" s="50" t="str">
        <x:v>待审核</x:v>
      </x:c>
      <x:c r="S29" s="43" t="str">
        <x:v>试题：E:\BISHE2026\题库\理综\新增\2024年高考新课标理综真题（解析版）.docx
答案解析：E:\BISHE2026\题库\理综\新增\2024年高考新课标理综真题（解析版）.docx</x:v>
      </x:c>
    </x:row>
    <x:row r="30" ht="72" customHeight="1">
      <x:c r="A30" s="49" t="str">
        <x:v>化学</x:v>
      </x:c>
      <x:c r="B30" s="50" t="n">
        <x:v>2024</x:v>
      </x:c>
      <x:c r="C30" s="50" t="str">
        <x:v>全国</x:v>
      </x:c>
      <x:c r="D30" s="50" t="str">
        <x:v>2024年高考真题——理综（新课标卷）</x:v>
      </x:c>
      <x:c r="E30" s="50" t="str">
        <x:v>11</x:v>
      </x:c>
      <x:c r="F30" s="50" t="str">
        <x:v>单选题</x:v>
      </x:c>
      <x:c r="G30" s="42" t="str">
        <x:v>我国科学家最近研究的一种无机盐〔公式对象 F049〕纳米药物具有高效的细胞内亚铁离子捕获和抗氧化能力。W、X、Y、Z的原子序数依次增加，且W、X、Y属于不同族的短周期元素。W的外层电子数是其内层电子数的2倍，X和Y的第一电离能都比左右相邻元素的高。Z的M层未成对电子数为4。下列叙述错误的是</x:v>
      </x:c>
      <x:c r="H30" s="42" t="str">
        <x:v>A. W、X、Y、Z四种元素的单质中Z的熔点最高
B. 在X的简单氢化物中X原子轨道杂化类型为〔公式对象 F050〕
C. Y的氢氧化物难溶于NaCl溶液，可以溶于〔公式对象 F051〕溶液
D. 〔公式对象 F052〕中〔公式对象 F053〕提供电子对与〔公式对象 F054〕形成配位键</x:v>
      </x:c>
      <x:c r="I30" s="42" t="str">
        <x:v>A</x:v>
      </x:c>
      <x:c r="J30" s="42" t="str">
        <x:v>【分析】W、X 、Y、Z的原子序数依次增加，且W、X、Y属于不同族的短周期元素。W的外层电子数是其内层电子数的2倍，则W为C元素；每个周期的ⅡA和ⅤA的元素的第一电离能都比左右相邻元素的高，由于配合物〔公式对象 F055〕中Y在外界，Y可形成简单阳离子，则Y属于金属元素，故X和Y分别为N和Mg；Z的M层未成对电子数为4，则其3d轨道上有4个不成对电子，其价电子排布式为〔公式对象 F056〕，Z为Fe元素，〔公式对象 F057〕为〔公式对象 F058〕。
【详解】A．W、X、 Y、Z四种元素的单质中，N元素的单质形成分子晶体，Mg和Fe均形成金属晶体，C元素既可以形成金刚石又可以形成石墨，石墨的熔点最高，A不正确；
B．在X的简单氢化物是〔公式对象 F059〕，其中C原子轨道杂化类型为〔公式对象 F060〕，B正确；
C．Y的氢氧化物是〔公式对象 F061〕，其属于中强碱，其难溶于水，难溶于〔公式对象 F062〕溶液，但是，由于〔公式对象 F063〕电离产生的〔公式对象 F064〕可以破坏〔公式对象 F065〕的沉淀溶解平衡，因此〔公式对象 F066〕可以溶于〔公式对象 F067〕溶液，C正确；
D．〔公式对象 F068〕中〔公式对象 F069〕提供电子对与〔公式对象 F070〕形成配位键，D正确；
综上所述，本题选A。</x:v>
      </x:c>
      <x:c r="K30" s="50" t="n">
        <x:v>6</x:v>
      </x:c>
      <x:c r="L30" s="50" t="n">
        <x:v>16</x:v>
      </x:c>
      <x:c r="M30" s="50" t="str">
        <x:v>物质结构</x:v>
      </x:c>
      <x:c r="N30" s="42" t="str">
        <x:v>物质结构&gt;原子结构与元素周期律&gt;电子排布和电离能</x:v>
      </x:c>
      <x:c r="O30" s="50" t="str">
        <x:v>hard</x:v>
      </x:c>
      <x:c r="P30" s="42" t="str">
        <x:v>需要综合多个条件，围绕电子排布和电离能进行多环节推理、定量计算或实验分析。</x:v>
      </x:c>
      <x:c r="Q30" s="50" t="str">
        <x:v>待审核</x:v>
      </x:c>
      <x:c r="R30" s="50" t="str">
        <x:v>待审核</x:v>
      </x:c>
      <x:c r="S30" s="43" t="str">
        <x:v>试题：E:\BISHE2026\题库\理综\新增\2024年高考新课标理综真题（解析版）.docx
答案解析：E:\BISHE2026\题库\理综\新增\2024年高考新课标理综真题（解析版）.docx</x:v>
      </x:c>
    </x:row>
    <x:row r="31" ht="72" customHeight="1">
      <x:c r="A31" s="49" t="str">
        <x:v>化学</x:v>
      </x:c>
      <x:c r="B31" s="50" t="n">
        <x:v>2024</x:v>
      </x:c>
      <x:c r="C31" s="50" t="str">
        <x:v>全国</x:v>
      </x:c>
      <x:c r="D31" s="50" t="str">
        <x:v>2024年高考真题——理综（新课标卷）</x:v>
      </x:c>
      <x:c r="E31" s="50" t="str">
        <x:v>12</x:v>
      </x:c>
      <x:c r="F31" s="50" t="str">
        <x:v>单选题</x:v>
      </x:c>
      <x:c r="G31" s="42" t="str">
        <x:v>一种可植入体内的微型电池工作原理如图所示，通过CuO催化消耗血糖发电，从而控制血糖浓度。当传感器检测到血糖浓度高于标准，电池启动。血糖浓度下降至标准，电池停止工作。(血糖浓度以葡萄糖浓度计)
〔图片对象 I071〕
电池工作时，下列叙述错误的是</x:v>
      </x:c>
      <x:c r="H31" s="42" t="str">
        <x:v>A. 电池总反应为〔公式对象 F072〕
B. b电极上CuO通过Cu(Ⅱ)和Cu(Ⅰ)相互转变起催化作用
C. 消耗18mg葡萄糖，理论上a电极有0.4mmol电子流入
D. 两电极间血液中的〔公式对象 F073〕在电场驱动下的迁移方向为b→a</x:v>
      </x:c>
      <x:c r="I31" s="42" t="str">
        <x:v>C</x:v>
      </x:c>
      <x:c r="J31" s="42" t="str">
        <x:v>【分析】由题中信息可知，b电极为负极，发生反应〔公式对象 F074〕，然后再发生〔公式对象 F075〕；a电极为正极，发生反应〔公式对象 F076〕，在这个过程中发生的总反应为〔公式对象 F077〕。
【详解】A．由题中信息可知，当电池开始工作时，a电极为电池正极，血液中的〔公式对象 F078〕在a电极上得电子生成〔公式对象 F079〕，电极反应式为〔公式对象 F080〕；b电极为电池负极， 〔公式对象 F081〕在b电极上失电子转化成CuO，电极反应式为〔公式对象 F082〕，然后葡萄糖被CuO氧化为葡萄糖酸，CuO被还原为〔公式对象 F083〕，则电池总反应为〔公式对象 F084〕，A正确；
B．b电极上CuO将葡萄糖被CuO氧化为葡萄糖酸后被还原为〔公式对象 F085〕，〔公式对象 F086〕在b电极上失电子转化成CuO，在这个过程中CuO的质量和化学性质保持不变，因此，CuO通过Cu(Ⅱ)和Cu(Ⅰ)相互转变起催化作用，B正确；
C．根据反应〔公式对象 F087〕可知，〔公式对象 F088〕参加反应时转移2 mol电子，〔公式对象 F089〕的物质的量为0.1 mmol，则消耗18 mg葡萄糖时，理论上a电极有0.2 mmol电子流入，C错误；
D．原电池中阳离子从负极移向正极迁移，故〔公式对象 F090〕迁移方向为b→a，D正确。
综上所述，本题选C。</x:v>
      </x:c>
      <x:c r="K31" s="50" t="n">
        <x:v>3</x:v>
      </x:c>
      <x:c r="L31" s="50" t="n">
        <x:v>17</x:v>
      </x:c>
      <x:c r="M31" s="50" t="str">
        <x:v>化学反应原理</x:v>
      </x:c>
      <x:c r="N31" s="42" t="str">
        <x:v>化学反应原理&gt;电化学&gt;原电池与催化</x:v>
      </x:c>
      <x:c r="O31" s="50" t="str">
        <x:v>medium</x:v>
      </x:c>
      <x:c r="P31" s="42" t="str">
        <x:v>需要提取题干或图表信息，并结合原电池与催化完成两步左右的判断或计算。</x:v>
      </x:c>
      <x:c r="Q31" s="50" t="str">
        <x:v>待审核</x:v>
      </x:c>
      <x:c r="R31" s="50" t="str">
        <x:v>待审核</x:v>
      </x:c>
      <x:c r="S31" s="43" t="str">
        <x:v>试题：E:\BISHE2026\题库\理综\新增\2024年高考新课标理综真题（解析版）.docx
答案解析：E:\BISHE2026\题库\理综\新增\2024年高考新课标理综真题（解析版）.docx</x:v>
      </x:c>
    </x:row>
    <x:row r="32" ht="72" customHeight="1">
      <x:c r="A32" s="49" t="str">
        <x:v>化学</x:v>
      </x:c>
      <x:c r="B32" s="50" t="n">
        <x:v>2024</x:v>
      </x:c>
      <x:c r="C32" s="50" t="str">
        <x:v>全国</x:v>
      </x:c>
      <x:c r="D32" s="50" t="str">
        <x:v>2024年高考真题——理综（新课标卷）</x:v>
      </x:c>
      <x:c r="E32" s="50" t="str">
        <x:v>13</x:v>
      </x:c>
      <x:c r="F32" s="50" t="str">
        <x:v>单选题</x:v>
      </x:c>
      <x:c r="G32" s="42" t="str">
        <x:v>常温下〔公式对象 F091〕和〔公式对象 F092〕的两种溶液中，分布系数δ与pH的变化关系如图所示。[比如：〔公式对象 F093〕]
〔图片对象 I094〕
下列叙述正确的是</x:v>
      </x:c>
      <x:c r="H32" s="42" t="str">
        <x:v>A. 曲线M表示〔公式对象 F095〕的变化关系
B. 若酸的初始浓度为〔公式对象 F096〕，则a点对应的溶液中有〔公式对象 F097〕
C. 〔公式对象 F098〕的电离常数〔公式对象 F099〕
D. 〔公式对象 F100〕时，〔公式对象 F101〕</x:v>
      </x:c>
      <x:c r="I32" s="42" t="str">
        <x:v>D</x:v>
      </x:c>
      <x:c r="J32" s="42" t="str">
        <x:v>【分析】随着pH的增大，〔公式对象 F102〕、〔公式对象 F103〕浓度减小，〔公式对象 F104〕、〔公式对象 F105〕浓度增大，—Cl为吸电子基团，〔公式对象 F106〕的酸性强于〔公式对象 F107〕，即〔公式对象 F108〕)，δ(酸分子)=δ(酸根离子)=0.5时的pH分别约为1.3、2.8，则两种酸的电离常数分别为〔公式对象 F109〕，〔公式对象 F110〕，由此分析解题。
【详解】A．根据分析，曲线M表示〔公式对象 F111〕的变化关系，A错误；
B．根据〔公式对象 F112〕，初始〔公式对象 F113〕，若溶液中溶质只有〔公式对象 F114〕，则〔公式对象 F115〕，但a点对应的〔公式对象 F116〕，说明此时溶液中加入了酸性更强的酸，根据电荷守恒，〔公式对象 F117〕，B错误；
C．根据分析，CH₂ClCOOH的电离常数Ka=10⁻².⁸，C错误；
D．电离度〔公式对象 F118〕，〔公式对象 F119〕，则〔公式对象 F120〕=〔公式对象 F121〕，〔公式对象 F122〕，〔公式对象 F123〕时，〔公式对象 F124〕，〔公式对象 F125〕，D正确；
故答案选D。
二、选择题：本题共8小题，每小题6分，共48分。在每小题给出的四个选项中，第14~18题只有一项符合题目要求，第19~21题有多项符合题目要求。全部选对的得6分，选对但不全的得3分，有选错的得0分。</x:v>
      </x:c>
      <x:c r="K32" s="50" t="n">
        <x:v>11</x:v>
      </x:c>
      <x:c r="L32" s="50" t="n">
        <x:v>24</x:v>
      </x:c>
      <x:c r="M32" s="50" t="str">
        <x:v>化学反应原理</x:v>
      </x:c>
      <x:c r="N32" s="42" t="str">
        <x:v>化学反应原理&gt;水溶液中的离子平衡&gt;分布系数与pH</x:v>
      </x:c>
      <x:c r="O32" s="50" t="str">
        <x:v>hard</x:v>
      </x:c>
      <x:c r="P32" s="42" t="str">
        <x:v>需要综合多个条件，围绕分布系数与pH进行多环节推理、定量计算或实验分析。</x:v>
      </x:c>
      <x:c r="Q32" s="50" t="str">
        <x:v>待审核</x:v>
      </x:c>
      <x:c r="R32" s="50" t="str">
        <x:v>待审核</x:v>
      </x:c>
      <x:c r="S32" s="43" t="str">
        <x:v>试题：E:\BISHE2026\题库\理综\新增\2024年高考新课标理综真题（解析版）.docx
答案解析：E:\BISHE2026\题库\理综\新增\2024年高考新课标理综真题（解析版）.docx</x:v>
      </x:c>
    </x:row>
    <x:row r="33" ht="72" customHeight="1">
      <x:c r="A33" s="49" t="str">
        <x:v>化学</x:v>
      </x:c>
      <x:c r="B33" s="50" t="n">
        <x:v>2024</x:v>
      </x:c>
      <x:c r="C33" s="50" t="str">
        <x:v>全国</x:v>
      </x:c>
      <x:c r="D33" s="50" t="str">
        <x:v>2024年高考真题——理综（新课标卷）</x:v>
      </x:c>
      <x:c r="E33" s="50" t="str">
        <x:v>27</x:v>
      </x:c>
      <x:c r="F33" s="50" t="str">
        <x:v>解答题</x:v>
      </x:c>
      <x:c r="G33" s="42" t="str">
        <x:v>钴及其化合物在制造合金、磁性材料、催化剂及陶瓷釉等方面有着广泛应用。一种从湿法炼锌产生的废渣(主要含Co、Zn、Pb、Fe的单质或氧化物)中富集回收得到含锰高钴成品的工艺如下：
〔图片对象 I275〕
已知溶液中相关离子开始沉淀和沉淀完全(〔公式对象 F276〕)时的pH：
〔表格开始〕
| | 〔公式对象 F277〕 | 〔公式对象 F278〕 | 〔公式对象 F279〕 | 〔公式对象 F280〕 | 〔公式对象 F281〕 |
| 开始沉淀的pH | 1.5 | 6.9 | — | 7.4 | 6.2 |
| 沉淀完全的pH | 2.8 | 8.4 | 1.1 | 9.4 | 8.2 |
〔表格结束〕
回答下列问题：
（1）“酸浸”前废渣需粉碎处理，目的是_______；“滤渣1”中金属元素主要为_______。
（2）“过滤1”后的溶液中加入〔公式对象 F283〕的作用是_______。取少量反应后的溶液，加入化学试剂_______检验_______，若出现蓝色沉淀，需补加〔公式对象 F284〕。
（3）“氧化沉钴”中氧化还原反应的离子方程式为_______、_______。
（4）“除钴液”中主要的盐有_______(写化学式)，残留的〔公式对象 F285〕浓度为_______〔公式对象 F286〕。</x:v>
      </x:c>
      <x:c r="H33" s="42" t="str"/>
      <x:c r="I33" s="42" t="str">
        <x:v>（1） ①. 增大固液接触面积，加快酸浸速率，提高浸取效率 ②. Pb
（2） ①. 将溶液中的〔公式对象 F287〕氧化为〔公式对象 F288〕，以便在后续调pH时除去Fe元素 ②. 〔公式对象 F289〕溶液 ③. 〔公式对象 F290〕
（3） ①. 〔公式对象 F291〕 ②. 〔公式对象 F292〕
（4） ①. 〔公式对象 F293〕、〔公式对象 F294〕 ②. 〔公式对象 F295〕</x:v>
      </x:c>
      <x:c r="J33" s="42" t="str">
        <x:v>【分析】由题中信息可知，用硫酸处理含有Co、Zn、Pb、Fe的单质或氧化物的废渣，得到含有〔公式对象 F296〕、〔公式对象 F297〕、〔公式对象 F298〕、〔公式对象 F299〕、〔公式对象 F300〕等离子的溶液，Pb的单质或氧化物与硫酸反应生成难溶的〔公式对象 F301〕，则“滤渣1”为“酸浸”时生成的〔公式对象 F302〕；向滤液中加入〔公式对象 F303〕将〔公式对象 F304〕氧化为〔公式对象 F305〕，然后加入ZnO调节pH=4使〔公式对象 F306〕完全转化为〔公式对象 F307〕，则“滤渣Ⅱ”的主要成分为〔公式对象 F308〕，滤液中的金属离子主要是〔公式对象 F309〕、〔公式对象 F310〕和〔公式对象 F311〕；最后“氧化沉钴”，加入强氧化剂〔公式对象 F312〕，将溶液中〔公式对象 F313〕氧化为〔公式对象 F314〕，在〔公式对象 F315〕时〔公式对象 F316〕形成〔公式对象 F317〕沉淀，而〔公式对象 F318〕则被还原为〔公式对象 F319〕，〔公式对象 F320〕还会与溶液中的〔公式对象 F321〕发生归中反应生成〔公式对象 F322〕，得到〔公式对象 F323〕和〔公式对象 F324〕的混合物，“除钴液”主要含有ZnSO₄、K₂SO₄，据此解答。
【小问1详解】
在原料预处理过程中，粉碎固体原料能增大固体与液体的接触面积，从而加快酸浸的反应速率，提高浸取效率；由分析可知，“滤渣1”的主要成分为PbSO₄，则“滤渣1”中金属元素主要为Pb；
【小问2详解】
酸浸液中含有〔公式对象 F325〕、〔公式对象 F326〕、〔公式对象 F327〕、〔公式对象 F328〕、〔公式对象 F329〕等离子。由题表中数据可知，当〔公式对象 F330〕完全沉淀时，〔公式对象 F331〕未开始沉淀，而当〔公式对象 F332〕完全沉淀时，〔公式对象 F333〕已有一部分沉淀，因此为了除去溶液中的Fe元素且〔公式对象 F334〕不沉淀，应先将〔公式对象 F335〕氧化为〔公式对象 F336〕，然后调节溶液的pH使〔公式对象 F337〕完全水解转化为〔公式对象 F338〕沉淀，因此，〔公式对象 F339〕的作用是将〔公式对象 F340〕氧化为〔公式对象 F341〕，以便在后续调pH时除去Fe元素。常用〔公式对象 F342〕溶液检验〔公式对象 F343〕，若生成蓝色沉淀，则说明溶液中仍存在〔公式对象 F344〕，需补加〔公式对象 F345〕；
【小问3详解】
由分析可知，该过程发生两个氧化还原反应，根据分析中两个反应的反应物、产物与反应环境(〔公式对象 F346〕)，结合得失电子守恒、电荷守恒和原子守恒可写出两个离子方程式：〔公式对象 F347〕、〔公式对象 F348〕；
【小问4详解】
最终得到的“除钴液”中含有的金属离子主要是最初“酸浸”时与加入ZnO调pH时引入的〔公式对象 F349〕、加入〔公式对象 F350〕“氧化沉钴”时引入的〔公式对象 F351〕，而阴离子是在酸浸时引入的〔公式对象 F352〕，因此其中主要的盐有〔公式对象 F353〕和〔公式对象 F354〕。当溶液〔公式对象 F355〕时〔公式对象 F356〕，〔公式对象 F357〕恰好完全沉淀，此时溶液中〔公式对象 F358〕，则〔公式对象 F359〕，则〔公式对象 F360〕。“除钴液”的〔公式对象 F361〕，即〔公式对象 F362〕，则〔公式对象 F363〕，此时溶液中〔公式对象 F364〕。</x:v>
      </x:c>
      <x:c r="K33" s="50" t="n">
        <x:v>11</x:v>
      </x:c>
      <x:c r="L33" s="50" t="n">
        <x:v>78</x:v>
      </x:c>
      <x:c r="M33" s="50" t="str">
        <x:v>实验化学</x:v>
      </x:c>
      <x:c r="N33" s="42" t="str">
        <x:v>实验化学&gt;化工流程&gt;浸取、氧化与沉淀</x:v>
      </x:c>
      <x:c r="O33" s="50" t="str">
        <x:v>hard</x:v>
      </x:c>
      <x:c r="P33" s="42" t="str">
        <x:v>需要综合多个条件，围绕浸取、氧化与沉淀进行多环节推理、定量计算或实验分析。</x:v>
      </x:c>
      <x:c r="Q33" s="50" t="str">
        <x:v>待审核</x:v>
      </x:c>
      <x:c r="R33" s="50" t="str">
        <x:v>待审核</x:v>
      </x:c>
      <x:c r="S33" s="43" t="str">
        <x:v>试题：E:\BISHE2026\题库\理综\新增\2024年高考新课标理综真题（解析版）.docx
答案解析：E:\BISHE2026\题库\理综\新增\2024年高考新课标理综真题（解析版）.docx</x:v>
      </x:c>
    </x:row>
    <x:row r="34" ht="72" customHeight="1">
      <x:c r="A34" s="49" t="str">
        <x:v>化学</x:v>
      </x:c>
      <x:c r="B34" s="50" t="n">
        <x:v>2024</x:v>
      </x:c>
      <x:c r="C34" s="50" t="str">
        <x:v>全国</x:v>
      </x:c>
      <x:c r="D34" s="50" t="str">
        <x:v>2024年高考真题——理综（新课标卷）</x:v>
      </x:c>
      <x:c r="E34" s="50" t="str">
        <x:v>28</x:v>
      </x:c>
      <x:c r="F34" s="50" t="str">
        <x:v>解答题</x:v>
      </x:c>
      <x:c r="G34" s="42" t="str">
        <x:v>吡咯类化合物在导电聚合物、化学传感器及药物制剂上有着广泛应用。一种合成1-(4-甲氧基苯基)-2，5-二甲基吡咯(用吡咯X表示)的反应和方法如下：
〔图片对象 I366〕
实验装置如图所示，将100 mmol己-2，5-二酮(熔点：-5.5℃，密度：〔公式对象 F367〕)与100 mmol 4-甲氧基苯胺(熔点：57℃)放入①中，搅拌。
〔图片对象 I368〕
待反应完成后，加入50%的乙醇溶液，析出浅棕色固体。加热至65℃，至固体溶解，加入脱色剂，回流20 min，趁热过滤。滤液静置至室温，冰水浴冷却，有大量白色固体析出。经过滤、洗涤、干燥得到产品。
回答下列问题：
（1）量取己-2，5-二酮应使用的仪器为_______(填名称)。
（2）仪器①用铁夹固定在③上，③的名称是_______；仪器②的名称是_______。
（3）“搅拌”的作用是_______。
（4）“加热”方式为_______。
（5）使用的“脱色剂”是_______。
（6）“趁热过滤”的目的是_______；用_______洗涤白色固体。
（7）若需进一步提纯产品，可采用的方法是_______。</x:v>
      </x:c>
      <x:c r="H34" s="42" t="str"/>
      <x:c r="I34" s="42" t="str">
        <x:v>（1）酸式滴定管
（2） ①. 铁架台 ②. 球形冷凝管
（3）使固液充分接触，加快反应速率
（4）水浴加热 （5）活性炭
（6） ①. 防止产品结晶损失，提高产率 ②. 50%的乙醇溶液
（7）重结晶</x:v>
      </x:c>
      <x:c r="J34" s="42" t="str">
        <x:v>【分析】将100 mmol己-2，5-二酮(熔点：-5.5℃，密度：〔公式对象 F369〕)与100 mmol 4-甲氧基苯胺(熔点：57℃)放入两颈烧瓶中，利用球形冷凝管进行冷凝回流提高原料利用率，通过搅拌来提高反应速率，反应完成后，加入50%的乙醇溶液，析出浅棕色固体(即含杂质的产品)，加热至65℃，至固体溶解，加入脱色剂（脱色剂为不溶于水和乙醇等溶剂的固体，如：活性炭），回流20min，趁热过滤，使产品尽可能多地进入滤液，滤液静置至室温，冰水浴冷却，有大量白色固体析出，经过滤、洗涤、干燥得到产品。
【小问1详解】
己-2，5-二酮的摩尔质量为〔公式对象 F370〕，根据题中所给数据可知，所需己-2，5-二酮的体积为〔公式对象 F371〕，又因为酮类对橡胶有腐蚀性，所以选用酸式滴定管。
【小问2详解】
③为铁架台；仪器②用于冷凝回流，为球形冷凝管。
【小问3详解】
己-2，5-二酮的熔点为-5.5℃，常温下为液体，4-甲氧基苯胺的熔点为57℃，常温下为固体，搅拌可使固液反应物充分接触，加快反应速率。
【小问4详解】
由题给信息“加热至65℃”可知，应用水浴加热，这样便于控制温度，且受热更均匀。
【小问5详解】
“脱色剂”的作用是吸附反应过程中产生的有色物质，结合题中信息，加入脱色剂后回流，趁热过滤，保留滤液，即脱色剂为不溶于水和乙醇等溶剂的固体，所以可以选用活性炭作脱色剂。
【小问6详解】
由题给信息可知，产品吡咯X为白色固体，加热至65℃可溶解在50%的乙醇溶液中，所以需趁热过滤，使产品尽可能多地进入滤液，防止产品结晶损失，提高产率；由加入50%的乙醇溶液，析出浅棕色固体(即含杂质的产品)可知，常温下产品不溶于50%的乙醇溶液，所以为减少溶解损失，洗涤时可用50%的乙醇溶液。
【小问7详解】
由产品的分离提纯过程可知，若需进一步提纯，可采用的方法为重结晶。</x:v>
      </x:c>
      <x:c r="K34" s="50" t="n">
        <x:v>3</x:v>
      </x:c>
      <x:c r="L34" s="50" t="n">
        <x:v>3</x:v>
      </x:c>
      <x:c r="M34" s="50" t="str">
        <x:v>实验化学</x:v>
      </x:c>
      <x:c r="N34" s="42" t="str">
        <x:v>实验化学&gt;有机物制备&gt;回流、脱色与重结晶</x:v>
      </x:c>
      <x:c r="O34" s="50" t="str">
        <x:v>medium</x:v>
      </x:c>
      <x:c r="P34" s="42" t="str">
        <x:v>需要提取题干或图表信息，并结合回流、脱色与重结晶完成两步左右的判断或计算。</x:v>
      </x:c>
      <x:c r="Q34" s="50" t="str">
        <x:v>待审核</x:v>
      </x:c>
      <x:c r="R34" s="50" t="str">
        <x:v>待审核</x:v>
      </x:c>
      <x:c r="S34" s="43" t="str">
        <x:v>试题：E:\BISHE2026\题库\理综\新增\2024年高考新课标理综真题（解析版）.docx
答案解析：E:\BISHE2026\题库\理综\新增\2024年高考新课标理综真题（解析版）.docx</x:v>
      </x:c>
    </x:row>
    <x:row r="35" ht="72" customHeight="1">
      <x:c r="A35" s="49" t="str">
        <x:v>化学</x:v>
      </x:c>
      <x:c r="B35" s="50" t="n">
        <x:v>2024</x:v>
      </x:c>
      <x:c r="C35" s="50" t="str">
        <x:v>全国</x:v>
      </x:c>
      <x:c r="D35" s="50" t="str">
        <x:v>2024年高考真题——理综（新课标卷）</x:v>
      </x:c>
      <x:c r="E35" s="50" t="str">
        <x:v>29</x:v>
      </x:c>
      <x:c r="F35" s="50" t="str">
        <x:v>解答题</x:v>
      </x:c>
      <x:c r="G35" s="42" t="str">
        <x:v>〔公式对象 F372〕(四羰合镍，沸点43℃)可用于制备高纯镍，也是有机化合物羰基化反应的催化剂。回答下列问题：
（1）Ni基态原子价电子的轨道表示式为_______。镍的晶胞结构类型与铜的相同，晶胞体积为〔公式对象 F373〕，镍原子半径为_______。
（2）〔公式对象 F374〕结构如图甲所示，其中含有σ键的数目为_______，〔公式对象 F376〕晶体的类型为_______。
〔图片对象 I377〕
（3）在总压分别为0.10、0.50、1.0、2.0MPa下，Ni(s)和CO(g)反应达平衡时，〔公式对象 F378〕体积分数x与温度的关系如图乙所示。反应〔公式对象 F379〕的ΔH_______0(填“大于”或“小于”)。从热力学角度考虑，_______有利于〔公式对象 F380〕的生成(写出两点)。〔公式对象 F381〕、100℃时CO的平衡转化率α=_______，该温度下平衡常数〔公式对象 F382〕_______〔公式对象 F383〕。
〔图片对象 I384〕
（4）对于同位素交换反应〔公式对象 F385〕，20℃时反应物浓度随时间的变化关系为〔公式对象 F386〕(k为反应速率常数)，则〔公式对象 F387〕反应一半所需时间〔公式对象 F388〕_______(用k表示)。</x:v>
      </x:c>
      <x:c r="H35" s="42" t="str"/>
      <x:c r="I35" s="42" t="str">
        <x:v>（1） ①. 〔图片对象 I389〕 ②. 〔公式对象 F390〕
（2） ①. 8 ②. 分子晶体
（3） ①. 小于 ②. 降低温度、增大压强 ③. 97.3% ④. 9000
（4）〔公式对象 F391〕</x:v>
      </x:c>
      <x:c r="J35" s="42" t="str">
        <x:v>【小问1详解】
Ni为28号元素，其基态原子的核外电子排布式为〔公式对象 F392〕，则其价电子轨道表示式为〔图片对象 I393〕；铜晶胞示意图为〔图片对象 I394〕，镍的晶胞结构类型与铜的相同，则镍原子半径为晶胞面对角线长度的〔公式对象 F395〕，因为晶胞体积为〔公式对象 F396〕，所以晶胞棱长为a，面对角线长度为〔公式对象 F397〕，则镍原子半径为〔公式对象 F398〕。
【小问2详解】
单键均为σ键，双键含有1个σ键和1个π键，三键含有1个σ键2个π键，由〔公式对象 F399〕的结构可知，4个配体CO与中心原子Ni形成的4个配位键均为σ键，而每个配体CO中含有1个σ键2个π键，因此1个〔公式对象 F400〕分子中含有8个σ键。〔公式对象 F401〕的沸点很低，结合其结构可知该物质由分子构成，因此其晶体类型为分子晶体。
【小问3详解】
随着温度升高，平衡时〔公式对象 F402〕的体积分数减小，说明温度升高平衡逆移，因此该反应的〔公式对象 F403〕；该反应的正反应是气体总分子数减小的放热反应，因此降低温度和增大压强均有利于〔公式对象 F404〕的生成；由上述分析知，温度相同时，增大压强平衡正向移动，对应的平衡体系中〔公式对象 F405〕的体积分数增大，则压强：〔公式对象 F406〕，即〔公式对象 F407〕对应的压强是1.0MPa．由题图乙可知，〔公式对象 F408〕、100℃条件下达到平衡时，CO和〔公式对象 F409〕的物质的量分数分别为0.1、0.9，设初始投入的CO为4mol，反应生成的〔公式对象 F410〕为xmol，可得三段式：〔公式对象 F411〕
，反应后总物质的量为：（4-3x）mol，根据阿伏加德罗定律，其他条件相同时，气体的体积分数即为其物质的量分数，因此有〔公式对象 F412〕，解得〔公式对象 F413〕，因此达到平衡时〔公式对象 F414〕，CO的平衡转化率〔公式对象 F415〕；气体的分压=总压强×该气体的物质的量分数，则该温度下的压强平衡常数〔公式对象 F416〕。
【小问4详解】
由题给关系式可得〔公式对象 F417〕，当〔公式对象 F418〕反应一半时〔公式对象 F419〕，即〔公式对象 F420〕，〔公式对象 F421〕，〔公式对象 F422〕，则〔公式对象 F423〕。</x:v>
      </x:c>
      <x:c r="K35" s="50" t="n">
        <x:v>16</x:v>
      </x:c>
      <x:c r="L35" s="50" t="n">
        <x:v>35</x:v>
      </x:c>
      <x:c r="M35" s="50" t="str">
        <x:v>化学反应原理</x:v>
      </x:c>
      <x:c r="N35" s="42" t="str">
        <x:v>化学反应原理&gt;化学平衡与动力学&gt;平衡常数和速率；物质结构&gt;晶体结构&gt;金属晶体</x:v>
      </x:c>
      <x:c r="O35" s="50" t="str">
        <x:v>hard</x:v>
      </x:c>
      <x:c r="P35" s="42" t="str">
        <x:v>需要综合多个条件，围绕平衡常数和速率进行多环节推理、定量计算或实验分析。</x:v>
      </x:c>
      <x:c r="Q35" s="50" t="str">
        <x:v>待审核</x:v>
      </x:c>
      <x:c r="R35" s="50" t="str">
        <x:v>待审核</x:v>
      </x:c>
      <x:c r="S35" s="43" t="str">
        <x:v>试题：E:\BISHE2026\题库\理综\新增\2024年高考新课标理综真题（解析版）.docx
答案解析：E:\BISHE2026\题库\理综\新增\2024年高考新课标理综真题（解析版）.docx</x:v>
      </x:c>
    </x:row>
    <x:row r="36" ht="72" customHeight="1">
      <x:c r="A36" s="51" t="str">
        <x:v>化学</x:v>
      </x:c>
      <x:c r="B36" s="52" t="n">
        <x:v>2024</x:v>
      </x:c>
      <x:c r="C36" s="52" t="str">
        <x:v>全国</x:v>
      </x:c>
      <x:c r="D36" s="52" t="str">
        <x:v>2024年高考真题——理综（新课标卷）</x:v>
      </x:c>
      <x:c r="E36" s="52" t="str">
        <x:v>30</x:v>
      </x:c>
      <x:c r="F36" s="52" t="str">
        <x:v>解答题</x:v>
      </x:c>
      <x:c r="G36" s="45" t="str">
        <x:v>四氟咯草胺(化合物G)是一种新型除草剂，可有效控制稻田杂草。G的一条合成路线如下(略去部分试剂和条件，忽略立体化学)。
〔图片对象 I424〕
已知反应Ⅰ：〔公式对象 F425〕
已知反应Ⅱ：〔图片对象 I426〕
〔公式对象 F427〕为烃基或H，R、〔公式对象 F428〕、〔公式对象 F429〕、〔公式对象 F430〕为烃基
回答下列问题：
（1）反应①的反应类型为_______；加入〔公式对象 F431〕的作用是_______。
（2）D分子中采用〔公式对象 F432〕杂化的碳原子数是_______。
（3）对照已知反应Ⅰ，反应③不使用〔公式对象 F433〕也能进行，原因是_______。
（4）E中含氧官能团名称是_______。
（5）F的结构简式是_______；反应⑤分两步进行，第一步产物的分子式为〔公式对象 F434〕，其结构简式是_______。
（6）G中手性碳原子是_______(写出序号)。
（7）化合物H是B的同分异构体，具有苯环结构，核磁共振氢谱中显示为四组峰，且可以发生已知反应Ⅱ．则H的可能结构是_______。</x:v>
      </x:c>
      <x:c r="H36" s="45" t="str"/>
      <x:c r="I36" s="45" t="str">
        <x:v>（1） ①. 取代反应 ②. 与生成的HBr反应，促进反应正向进行
（2）5 （3）D分子中同时存在—OH和〔图片对象 I435〕
（4）酯基 （5） ①. 〔图片对象 I436〕 ②. 〔图片对象 I437〕
（6）3和4 （7）〔图片对象 I438〕、〔图片对象 I439〕</x:v>
      </x:c>
      <x:c r="J36" s="45" t="str">
        <x:v>【分析】结合A、C的结构简式和B的分子式可知，B的结构简式为〔图片对象 I440〕，A中—Br与B中〔图片对象 I441〕发生取代反应，生成C和小分子HBr，加入的〔公式对象 F442〕与生成的HBr发生反应，促进反应正向进行；由反应③的反应条件可知，反应③发生已知反应Ⅰ，则D中应含有—OH，再结合C的结构简式、D的分子式可知，C→D发生的是羰基的加氢还原反应，D的结构简式为〔图片对象 I443〕，采取〔公式对象 F444〕杂化的C原子为图中数字标注的C原子，有5个；D的分子中存在—OH和〔图片对象 I445〕，依次发生反应③(类似已知反应Ⅰ)、反应④(取代反应)生成E，E中含氧官能团为酯基；根据E、G的结构简式和反应⑤、反应⑥的反应试剂，结合F的分子式可知，F的结构简式为〔图片对象 I446〕。
【小问1详解】
根据分析，反应①的反应类型为取代反应，反应中加入K₂CO₃的作用为与生成的HBr反应，促进反应正向进行。
【小问2详解】
根据分析，D分子中采用sp³杂化的碳原子数为5个，分别为〔图片对象 I447〕。
【小问3详解】
已知反应Ⅰ为—OH与〔公式对象 F448〕发生取代反应，生成的小分子HCl与〔图片对象 I449〕结合生成铵盐。由D的结构简式可知，D分子中同时存在—OH和〔图片对象 I450〕，故反应③不使用〔公式对象 F451〕也能进行。
【小问4详解】
由E的结构简式可知，E中含氧官能团的名称为酯基。
【小问5详解】
已知反应⑤分两步进行，结合F的结构简式知，E→F过程中，第二步为第一步产物发生已知反应Ⅱ，结合第一步产物的分子式及已知反应Ⅱ的机理知，第一步产物的结构简式为〔图片对象 I452〕。
【小问6详解】
手性碳原子指连有四个不同的原子或原子团的饱和碳原子，由G的结构简式知，其中手性碳原子为3和4号碳原子。
【小问7详解】
由思路分析可知，B的结构简式为〔图片对象 I454〕，其同分异构体H能发生已知反应Ⅱ，说明其具有〔图片对象 I455〕或〔公式对象 F456〕结构；具有苯环结构，核磁共振氢谱中显示有4组峰，说明结构对称，则其可能的结构简式有〔图片对象 I457〕、〔图片对象 I458〕。</x:v>
      </x:c>
      <x:c r="K36" s="52" t="n">
        <x:v>11</x:v>
      </x:c>
      <x:c r="L36" s="52" t="n">
        <x:v>23</x:v>
      </x:c>
      <x:c r="M36" s="52" t="str">
        <x:v>有机化学</x:v>
      </x:c>
      <x:c r="N36" s="45" t="str">
        <x:v>有机化学&gt;有机合成&gt;官能团转化与立体结构</x:v>
      </x:c>
      <x:c r="O36" s="52" t="str">
        <x:v>hard</x:v>
      </x:c>
      <x:c r="P36" s="45" t="str">
        <x:v>需要综合多个条件，围绕官能团转化与立体结构进行多环节推理、定量计算或实验分析。</x:v>
      </x:c>
      <x:c r="Q36" s="52" t="str">
        <x:v>待审核</x:v>
      </x:c>
      <x:c r="R36" s="52" t="str">
        <x:v>待审核</x:v>
      </x:c>
      <x:c r="S36" s="46" t="str">
        <x:v>试题：E:\BISHE2026\题库\理综\新增\2024年高考新课标理综真题（解析版）.docx
答案解析：E:\BISHE2026\题库\理综\新增\2024年高考新课标理综真题（解析版）.docx</x:v>
      </x:c>
    </x:row>
  </x:sheetData>
  <x:mergeCells>
    <x:mergeCell ref="A1:S1"/>
  </x:mergeCells>
  <x:dataValidations count="2">
    <x:dataValidation type="list" sqref="O3:O36">
      <x:formula1>"easy,medium,hard"</x:formula1>
    </x:dataValidation>
    <x:dataValidation type="list" sqref="Q3:R36">
      <x:formula1>"待审核,审核通过,退回修改"</x:formula1>
    </x:dataValidation>
  </x:dataValidations>
  <x:pageMargins left="0.7" right="0.7" top="0.75" bottom="0.75" header="0.3" footer="0.3"/>
  <x:tableParts count="1">
    <x:tablePart xmlns:r="http://schemas.openxmlformats.org/officeDocument/2006/relationships" r:id="R5b3b27fa241346a8"/>
  </x:tableParts>
</x:worksheet>
</file>

<file path=xl/worksheets/sheet2.xml><?xml version="1.0" encoding="utf-8"?>
<x:worksheet xmlns:x="http://schemas.openxmlformats.org/spreadsheetml/2006/main">
  <x:sheetViews>
    <x:sheetView showGridLines="0" workbookViewId="0"/>
  </x:sheetViews>
  <x:sheetFormatPr defaultRowHeight="15"/>
  <x:cols>
    <x:col min="1" max="1" width="35.630001068115234" hidden="0" customWidth="1"/>
    <x:col min="2" max="2" width="11.25" hidden="0" customWidth="1"/>
    <x:col min="3" max="3" width="23.1299991607666" hidden="0" customWidth="1"/>
  </x:cols>
  <x:sheetData>
    <x:row r="1" ht="28" customHeight="1">
      <x:c r="A1" s="55" t="str">
        <x:v>化学母题库检查表（知识点与难度标注版）质量统计</x:v>
      </x:c>
      <x:c r="B1" s="55"/>
      <x:c r="C1" s="55"/>
    </x:row>
    <x:row r="3">
      <x:c r="A3" s="60" t="str">
        <x:v>检查项</x:v>
      </x:c>
      <x:c r="B3" s="61" t="str">
        <x:v>结果</x:v>
      </x:c>
      <x:c r="C3" s="62" t="str">
        <x:v>说明</x:v>
      </x:c>
    </x:row>
    <x:row r="4">
      <x:c r="A4" s="81" t="str">
        <x:v>题目总数</x:v>
      </x:c>
      <x:c r="B4" s="93" t="n">
        <x:f>COUNTA('题目检查'!$E$3:$E$36)</x:f>
        <x:v>34</x:v>
      </x:c>
      <x:c r="C4" s="83" t="str">
        <x:v>按题号计数</x:v>
      </x:c>
    </x:row>
    <x:row r="5">
      <x:c r="A5" s="84" t="str">
        <x:v>2023新课标卷</x:v>
      </x:c>
      <x:c r="B5" s="94" t="n">
        <x:f>COUNTIF('题目检查'!$D$3:$D$36,"2023年高考真题——理综（新课标卷）")</x:f>
        <x:v>11</x:v>
      </x:c>
      <x:c r="C5" s="86" t="str">
        <x:v>题数</x:v>
      </x:c>
    </x:row>
    <x:row r="6">
      <x:c r="A6" s="84" t="str">
        <x:v>2023全国甲卷</x:v>
      </x:c>
      <x:c r="B6" s="94" t="n">
        <x:f>COUNTIF('题目检查'!$D$3:$D$36,"2023年高考真题——理综（全国甲卷）")</x:f>
        <x:v>12</x:v>
      </x:c>
      <x:c r="C6" s="86" t="str">
        <x:v>题数</x:v>
      </x:c>
    </x:row>
    <x:row r="7">
      <x:c r="A7" s="84" t="str">
        <x:v>2024新课标卷</x:v>
      </x:c>
      <x:c r="B7" s="94" t="n">
        <x:f>COUNTIF('题目检查'!$D$3:$D$36,"2024年高考真题——理综（新课标卷）")</x:f>
        <x:v>11</x:v>
      </x:c>
      <x:c r="C7" s="86" t="str">
        <x:v>题数</x:v>
      </x:c>
    </x:row>
    <x:row r="8">
      <x:c r="A8" s="84" t="str">
        <x:v>单选题</x:v>
      </x:c>
      <x:c r="B8" s="94" t="n">
        <x:f>COUNTIF('题目检查'!$F$3:$F$36,"单选题")</x:f>
        <x:v>21</x:v>
      </x:c>
      <x:c r="C8" s="86" t="str">
        <x:v>题数</x:v>
      </x:c>
    </x:row>
    <x:row r="9">
      <x:c r="A9" s="84" t="str">
        <x:v>解答题</x:v>
      </x:c>
      <x:c r="B9" s="94" t="n">
        <x:f>COUNTIF('题目检查'!$F$3:$F$36,"解答题")</x:f>
        <x:v>13</x:v>
      </x:c>
      <x:c r="C9" s="86" t="str">
        <x:v>题数</x:v>
      </x:c>
    </x:row>
    <x:row r="10">
      <x:c r="A10" s="84" t="str">
        <x:v>知识点：化学反应原理</x:v>
      </x:c>
      <x:c r="B10" s="94" t="n">
        <x:f>COUNTIF('题目检查'!$M$3:$M$36,"化学反应原理")</x:f>
        <x:v>10</x:v>
      </x:c>
      <x:c r="C10" s="86" t="str">
        <x:v>按首个知识点分类</x:v>
      </x:c>
    </x:row>
    <x:row r="11">
      <x:c r="A11" s="84" t="str">
        <x:v>知识点：化学基本概念</x:v>
      </x:c>
      <x:c r="B11" s="94" t="n">
        <x:f>COUNTIF('题目检查'!$M$3:$M$36,"化学基本概念")</x:f>
        <x:v>5</x:v>
      </x:c>
      <x:c r="C11" s="86" t="str">
        <x:v>按首个知识点分类</x:v>
      </x:c>
    </x:row>
    <x:row r="12">
      <x:c r="A12" s="84" t="str">
        <x:v>知识点：实验化学</x:v>
      </x:c>
      <x:c r="B12" s="94" t="n">
        <x:f>COUNTIF('题目检查'!$M$3:$M$36,"实验化学")</x:f>
        <x:v>9</x:v>
      </x:c>
      <x:c r="C12" s="86" t="str">
        <x:v>按首个知识点分类</x:v>
      </x:c>
    </x:row>
    <x:row r="13">
      <x:c r="A13" s="84" t="str">
        <x:v>知识点：有机化学</x:v>
      </x:c>
      <x:c r="B13" s="94" t="n">
        <x:f>COUNTIF('题目检查'!$M$3:$M$36,"有机化学")</x:f>
        <x:v>6</x:v>
      </x:c>
      <x:c r="C13" s="86" t="str">
        <x:v>按首个知识点分类</x:v>
      </x:c>
    </x:row>
    <x:row r="14">
      <x:c r="A14" s="84" t="str">
        <x:v>知识点：物质结构</x:v>
      </x:c>
      <x:c r="B14" s="94" t="n">
        <x:f>COUNTIF('题目检查'!$M$3:$M$36,"物质结构")</x:f>
        <x:v>4</x:v>
      </x:c>
      <x:c r="C14" s="86" t="str">
        <x:v>按首个知识点分类</x:v>
      </x:c>
    </x:row>
    <x:row r="15">
      <x:c r="A15" s="84" t="str">
        <x:v>难度：easy</x:v>
      </x:c>
      <x:c r="B15" s="94" t="n">
        <x:f>COUNTIF('题目检查'!$O$3:$O$36,"easy")</x:f>
        <x:v>4</x:v>
      </x:c>
      <x:c r="C15" s="86" t="str">
        <x:v>题数</x:v>
      </x:c>
    </x:row>
    <x:row r="16">
      <x:c r="A16" s="84" t="str">
        <x:v>难度：medium</x:v>
      </x:c>
      <x:c r="B16" s="94" t="n">
        <x:f>COUNTIF('题目检查'!$O$3:$O$36,"medium")</x:f>
        <x:v>13</x:v>
      </x:c>
      <x:c r="C16" s="86" t="str">
        <x:v>题数</x:v>
      </x:c>
    </x:row>
    <x:row r="17">
      <x:c r="A17" s="84" t="str">
        <x:v>难度：hard</x:v>
      </x:c>
      <x:c r="B17" s="94" t="n">
        <x:f>COUNTIF('题目检查'!$O$3:$O$36,"hard")</x:f>
        <x:v>17</x:v>
      </x:c>
      <x:c r="C17" s="86" t="str">
        <x:v>题数</x:v>
      </x:c>
    </x:row>
    <x:row r="18">
      <x:c r="A18" s="84" t="str">
        <x:v>知识点空值</x:v>
      </x:c>
      <x:c r="B18" s="94" t="n">
        <x:f>COUNTBLANK('题目检查'!$N$3:$N$36)</x:f>
        <x:v>0</x:v>
      </x:c>
      <x:c r="C18" s="86" t="str">
        <x:v>应为0</x:v>
      </x:c>
    </x:row>
    <x:row r="19">
      <x:c r="A19" s="84" t="str">
        <x:v>难度空值</x:v>
      </x:c>
      <x:c r="B19" s="94" t="n">
        <x:f>COUNTBLANK('题目检查'!$O$3:$O$36)</x:f>
        <x:v>0</x:v>
      </x:c>
      <x:c r="C19" s="86" t="str">
        <x:v>应为0</x:v>
      </x:c>
    </x:row>
    <x:row r="20">
      <x:c r="A20" s="84" t="str">
        <x:v>难度说明空值</x:v>
      </x:c>
      <x:c r="B20" s="94" t="n">
        <x:f>COUNTBLANK('题目检查'!$P$3:$P$36)</x:f>
        <x:v>0</x:v>
      </x:c>
      <x:c r="C20" s="86" t="str">
        <x:v>应为0</x:v>
      </x:c>
    </x:row>
    <x:row r="21">
      <x:c r="A21" s="84" t="str">
        <x:v>题干图片</x:v>
      </x:c>
      <x:c r="B21" s="94" t="n">
        <x:f>SUM('题目检查'!$K$3:$K$36)</x:f>
        <x:v>320</x:v>
      </x:c>
      <x:c r="C21" s="86" t="str">
        <x:v>图片记录数</x:v>
      </x:c>
    </x:row>
    <x:row r="22">
      <x:c r="A22" s="84" t="str">
        <x:v>解析图片</x:v>
      </x:c>
      <x:c r="B22" s="94" t="n">
        <x:f>SUM('题目检查'!$L$3:$L$36)</x:f>
        <x:v>506</x:v>
      </x:c>
      <x:c r="C22" s="86" t="str">
        <x:v>图片记录数</x:v>
      </x:c>
    </x:row>
    <x:row r="23">
      <x:c r="A23" s="87" t="str">
        <x:v>待审核</x:v>
      </x:c>
      <x:c r="B23" s="95" t="n">
        <x:f>COUNTIF('题目检查'!$R$3:$R$36,"待审核")</x:f>
        <x:v>34</x:v>
      </x:c>
      <x:c r="C23" s="89" t="str">
        <x:v>应等于题目总数</x:v>
      </x:c>
    </x:row>
  </x:sheetData>
  <x:mergeCells>
    <x:mergeCell ref="A1:C1"/>
  </x:mergeCells>
  <x:pageMargins left="0.7" right="0.7" top="0.75" bottom="0.75" header="0.3" footer="0.3"/>
  <x:tableParts count="1">
    <x:tablePart xmlns:r="http://schemas.openxmlformats.org/officeDocument/2006/relationships" r:id="Rb3add110800d4d0f"/>
  </x:tableParts>
</x:worksheet>
</file>