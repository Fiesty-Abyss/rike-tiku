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7e44354574f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题目检查" sheetId="1" r:id="R604f1778151c4c74"/>
    <x:sheet xmlns:r="http://schemas.openxmlformats.org/officeDocument/2006/relationships" name="质量统计" sheetId="2" r:id="Reaec2ffcd19d44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0"/>
      <x:color rgb="FF375623"/>
      <x:name val="Carlito"/>
    </x:font>
    <x:font>
      <x:sz val="9"/>
      <x:name val="Carlito"/>
    </x:font>
    <x:font>
      <x:b/>
      <x:sz val="15"/>
      <x:color rgb="FFFFFFFF"/>
      <x:name val="Carlito"/>
    </x:font>
    <x:font>
      <x:b/>
      <x:sz val="11"/>
      <x:color rgb="FF37562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75623"/>
      </x:patternFill>
    </x:fill>
    <x:fill>
      <x:patternFill patternType="solid">
        <x:fgColor rgb="FFE2F0D9"/>
      </x:patternFill>
    </x:fill>
  </x:fills>
  <x:borders count="13">
    <x:border/>
    <x:border>
      <x:left style="medium">
        <x:color rgb="FF7F8C8D"/>
      </x:left>
      <x:top style="medium">
        <x:color rgb="FF7F8C8D"/>
      </x:top>
      <x:bottom style="medium">
        <x:color rgb="FF7F8C8D"/>
      </x:bottom>
    </x:border>
    <x:border>
      <x:top style="medium">
        <x:color rgb="FF7F8C8D"/>
      </x:top>
      <x:bottom style="medium">
        <x:color rgb="FF7F8C8D"/>
      </x:bottom>
    </x:border>
    <x:border>
      <x:right style="medium">
        <x:color rgb="FF7F8C8D"/>
      </x:right>
      <x:top style="medium">
        <x:color rgb="FF7F8C8D"/>
      </x:top>
      <x:bottom style="medium">
        <x:color rgb="FF7F8C8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horizontal="center" vertical="top" wrapText="1"/>
    </x:xf>
    <x:xf numFmtId="0" fontId="3" fillId="0" borderId="5" xfId="0" applyNumberFormat="1" applyFont="1" applyFill="1" applyBorder="1" applyAlignment="1">
      <x:alignment horizontal="center" vertical="top" wrapText="1"/>
    </x:xf>
    <x:xf numFmtId="0" fontId="3" fillId="0" borderId="7" xfId="0" applyNumberFormat="1" applyFont="1" applyFill="1" applyBorder="1" applyAlignment="1">
      <x:alignment horizontal="center" vertical="top" wrapText="1"/>
    </x:xf>
    <x:xf numFmtId="0" fontId="3" fillId="0" borderId="8" xfId="0" applyNumberFormat="1" applyFont="1" applyFill="1" applyBorder="1" applyAlignment="1">
      <x:alignment horizontal="center" vertical="top" wrapText="1"/>
    </x:xf>
    <x:xf numFmtId="0" fontId="3" fillId="0" borderId="10" xfId="0" applyNumberFormat="1" applyFont="1" applyFill="1" applyBorder="1" applyAlignment="1">
      <x:alignment horizontal="center" vertical="top" wrapText="1"/>
    </x:xf>
    <x:xf numFmtId="0" fontId="3" fillId="0" borderId="1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horizontal="right" vertical="center" wrapText="1"/>
    </x:xf>
    <x:xf numFmtId="200" fontId="0" fillId="0" borderId="8" xfId="0" applyNumberFormat="1" applyFont="1" applyFill="1" applyBorder="1" applyAlignment="1">
      <x:alignment horizontal="right" vertical="center" wrapText="1"/>
    </x:xf>
    <x:xf numFmtId="200" fontId="0" fillId="0" borderId="1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0c96453ffe4451" /><Relationship Type="http://schemas.openxmlformats.org/officeDocument/2006/relationships/theme" Target="/xl/theme/theme1.xml" Id="R90d78761bdb4420c" /><Relationship Type="http://schemas.openxmlformats.org/officeDocument/2006/relationships/sharedStrings" Target="/xl/sharedStrings.xml" Id="Rce790d013c654f07" /><Relationship Type="http://schemas.openxmlformats.org/officeDocument/2006/relationships/worksheet" Target="/xl/worksheets/sheet1.xml" Id="R604f1778151c4c74" /><Relationship Type="http://schemas.openxmlformats.org/officeDocument/2006/relationships/worksheet" Target="/xl/worksheets/sheet2.xml" Id="Reaec2ffcd19d4416" /></Relationships>
</file>

<file path=xl/tables/table1.xml><?xml version="1.0" encoding="utf-8"?>
<x:table xmlns:x="http://schemas.openxmlformats.org/spreadsheetml/2006/main" id="1" name="化学QuestionTable10" displayName="化学QuestionTable10" ref="A2:S12" headerRowCount="1" totalsRowCount="0" totalsRowShown="0">
  <x:tableColumns count="19">
    <x:tableColumn id="1" name="学科"/>
    <x:tableColumn id="2" name="年份"/>
    <x:tableColumn id="3" name="区域"/>
    <x:tableColumn id="4" name="试卷来源"/>
    <x:tableColumn id="5" name="题号"/>
    <x:tableColumn id="6" name="题型"/>
    <x:tableColumn id="7" name="题干"/>
    <x:tableColumn id="8" name="选项"/>
    <x:tableColumn id="9" name="答案"/>
    <x:tableColumn id="10" name="标准解析"/>
    <x:tableColumn id="11" name="题干图片数"/>
    <x:tableColumn id="12" name="解析图片数"/>
    <x:tableColumn id="13" name="一级知识点"/>
    <x:tableColumn id="14" name="知识点"/>
    <x:tableColumn id="15" name="难度"/>
    <x:tableColumn id="16" name="难度说明"/>
    <x:tableColumn id="17" name="答案解析审核状态"/>
    <x:tableColumn id="18" name="审核状态"/>
    <x:tableColumn id="19" name="来源文件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化学StatsTable10" displayName="化学StatsTable10" ref="A3:C22" headerRowCount="1" totalsRowCount="0" totalsRowShown="0">
  <x:tableColumns count="3">
    <x:tableColumn id="1" name="检查项"/>
    <x:tableColumn id="2" name="结果"/>
    <x:tableColumn id="3" name="说明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3b6611336f47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f7bf7a55bb41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5" hidden="0" customWidth="1"/>
    <x:col min="2" max="2" width="7.25" hidden="0" customWidth="1"/>
    <x:col min="3" max="3" width="7.75" hidden="0" customWidth="1"/>
    <x:col min="4" max="4" width="26.8799991607666" hidden="0" customWidth="1"/>
    <x:col min="5" max="5" width="6.25" hidden="0" customWidth="1"/>
    <x:col min="6" max="6" width="10.630000114440918" hidden="0" customWidth="1"/>
    <x:col min="7" max="7" width="45" hidden="0" customWidth="1"/>
    <x:col min="8" max="8" width="37.5" hidden="0" customWidth="1"/>
    <x:col min="9" max="9" width="26.25" hidden="0" customWidth="1"/>
    <x:col min="10" max="10" width="51.25" hidden="0" customWidth="1"/>
    <x:col min="11" max="11" width="9.5" hidden="0" customWidth="1"/>
    <x:col min="12" max="12" width="9.5" hidden="0" customWidth="1"/>
    <x:col min="13" max="13" width="11.25" hidden="0" customWidth="1"/>
    <x:col min="14" max="14" width="31.25" hidden="0" customWidth="1"/>
    <x:col min="15" max="15" width="8.75" hidden="0" customWidth="1"/>
    <x:col min="16" max="16" width="35" hidden="0" customWidth="1"/>
    <x:col min="17" max="17" width="13" hidden="0" customWidth="1"/>
    <x:col min="18" max="18" width="10.25" hidden="0" customWidth="1"/>
    <x:col min="19" max="19" width="37.5" hidden="0" customWidth="1"/>
  </x:cols>
  <x:sheetData>
    <x:row r="1" ht="28" customHeight="1">
      <x:c r="A1" s="4" t="str">
        <x:v>化学MVP导入候选题（待审核）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>
      <x:c r="A2" s="16" t="str">
        <x:v>学科</x:v>
      </x:c>
      <x:c r="B2" s="17" t="str">
        <x:v>年份</x:v>
      </x:c>
      <x:c r="C2" s="17" t="str">
        <x:v>区域</x:v>
      </x:c>
      <x:c r="D2" s="17" t="str">
        <x:v>试卷来源</x:v>
      </x:c>
      <x:c r="E2" s="17" t="str">
        <x:v>题号</x:v>
      </x:c>
      <x:c r="F2" s="17" t="str">
        <x:v>题型</x:v>
      </x:c>
      <x:c r="G2" s="17" t="str">
        <x:v>题干</x:v>
      </x:c>
      <x:c r="H2" s="17" t="str">
        <x:v>选项</x:v>
      </x:c>
      <x:c r="I2" s="17" t="str">
        <x:v>答案</x:v>
      </x:c>
      <x:c r="J2" s="17" t="str">
        <x:v>标准解析</x:v>
      </x:c>
      <x:c r="K2" s="17" t="str">
        <x:v>题干图片数</x:v>
      </x:c>
      <x:c r="L2" s="17" t="str">
        <x:v>解析图片数</x:v>
      </x:c>
      <x:c r="M2" s="17" t="str">
        <x:v>一级知识点</x:v>
      </x:c>
      <x:c r="N2" s="17" t="str">
        <x:v>知识点</x:v>
      </x:c>
      <x:c r="O2" s="17" t="str">
        <x:v>难度</x:v>
      </x:c>
      <x:c r="P2" s="17" t="str">
        <x:v>难度说明</x:v>
      </x:c>
      <x:c r="Q2" s="17" t="str">
        <x:v>答案解析审核状态</x:v>
      </x:c>
      <x:c r="R2" s="17" t="str">
        <x:v>审核状态</x:v>
      </x:c>
      <x:c r="S2" s="18" t="str">
        <x:v>来源文件</x:v>
      </x:c>
    </x:row>
    <x:row r="3" ht="72" customHeight="1">
      <x:c r="A3" s="47" t="str">
        <x:v>化学</x:v>
      </x:c>
      <x:c r="B3" s="48" t="n">
        <x:v>2023</x:v>
      </x:c>
      <x:c r="C3" s="48" t="str">
        <x:v>全国</x:v>
      </x:c>
      <x:c r="D3" s="48" t="str">
        <x:v>2023年高考真题——理综（新课标卷）</x:v>
      </x:c>
      <x:c r="E3" s="48" t="str">
        <x:v>7</x:v>
      </x:c>
      <x:c r="F3" s="48" t="str">
        <x:v>单选题</x:v>
      </x:c>
      <x:c r="G3" s="39" t="str">
        <x:v>化学在文物的研究和修复中有重要作用。下列说法错误的是</x:v>
      </x:c>
      <x:c r="H3" s="39" t="str">
        <x:v>A. 竹简的成分之一纤维素属于天然高分子
B. 龟甲的成分之一羟基磷灰石属于无机物
C. 古陶瓷修复所用的熟石膏，其成分为Ca(OH)₂
D. 古壁画颜料中所用的铁红，其成分为Fe₂O₃</x:v>
      </x:c>
      <x:c r="I3" s="39" t="str">
        <x:v>C</x:v>
      </x:c>
      <x:c r="J3" s="39" t="str">
        <x:v>【详解】A．纤维素是一种天然化合物，其分子式为(C₆H₁₀O₅)n，其相对分子质量较高，是一种天然高分子，A正确；
B．羟基磷灰石又称又称羟磷灰石、碱式磷酸钙，其化学式为[Ca₁₀(PO₄)₆(OH)₂]，属于无机物，B正确；
C．熟石膏是主要成分为2CaSO₄·H₂O，Ca(OH)₂为熟石灰的主要成分，C错误；
D．Fe₂O₃为红色，常被用于油漆、涂料、油墨和橡胶的红色颜料，俗称铁红，D正确；
故答案选C。</x:v>
      </x:c>
      <x:c r="K3" s="48" t="n">
        <x:v>0</x:v>
      </x:c>
      <x:c r="L3" s="48" t="n">
        <x:v>0</x:v>
      </x:c>
      <x:c r="M3" s="48" t="str">
        <x:v>化学基本概念</x:v>
      </x:c>
      <x:c r="N3" s="39" t="str">
        <x:v>化学基本概念&gt;化学与社会&gt;材料和文物保护</x:v>
      </x:c>
      <x:c r="O3" s="48" t="str">
        <x:v>easy</x:v>
      </x:c>
      <x:c r="P3" s="39" t="str">
        <x:v>考查材料和文物保护的直接识记或单步判断，条件明确，运算与推理量较小。</x:v>
      </x:c>
      <x:c r="Q3" s="48" t="str">
        <x:v>待审核</x:v>
      </x:c>
      <x:c r="R3" s="48" t="str">
        <x:v>待审核</x:v>
      </x:c>
      <x:c r="S3" s="40" t="str">
        <x:v>试题：E:\BISHE2026\题库\理综\2023年高考真题——理综（新课标卷）Word版含解析.doc
答案解析：E:\BISHE2026\题库\理综\2023年高考真题——理综（新课标卷）Word版含解析.doc</x:v>
      </x:c>
    </x:row>
    <x:row r="4" ht="72" customHeight="1">
      <x:c r="A4" s="49" t="str">
        <x:v>化学</x:v>
      </x:c>
      <x:c r="B4" s="50" t="n">
        <x:v>2023</x:v>
      </x:c>
      <x:c r="C4" s="50" t="str">
        <x:v>全国</x:v>
      </x:c>
      <x:c r="D4" s="50" t="str">
        <x:v>2023年高考真题——理综（新课标卷）</x:v>
      </x:c>
      <x:c r="E4" s="50" t="str">
        <x:v>9</x:v>
      </x:c>
      <x:c r="F4" s="50" t="str">
        <x:v>单选题</x:v>
      </x:c>
      <x:c r="G4" s="42" t="str">
        <x:v>一种可吸附甲醇的材料，其化学式为〔公式对象 F009〕，部分晶体结构如下图所示，其中〔公式对象 F010〕为平面结构。
〔图片对象 I011〕
下列说法正确的是</x:v>
      </x:c>
      <x:c r="H4" s="42" t="str">
        <x:v>A. 该晶体中存在N-H…O氢键
B. 基态原子的第一电离能：〔公式对象 F012〕
C. 基态原子未成对电子数：〔公式对象 F013〕
D. 晶体中B、N和O原子轨道的杂化类型相同</x:v>
      </x:c>
      <x:c r="I4" s="42" t="str">
        <x:v>A</x:v>
      </x:c>
      <x:c r="J4" s="42" t="str">
        <x:v>【详解】A．由晶体结构图可知，〔公式对象 F015〕中的〔公式对象 F016〕的〔公式对象 F017〕与〔公式对象 F018〕中的〔公式对象 F019〕形成氢键，因此，该晶体中存在〔公式对象 F020〕氢键，A说法正确；
B．同一周期元素原子的第一电离能呈递增趋势，但是第ⅡA、ⅤA元素的原子结构比较稳定，其第一电离能高于同周期的相邻元素的原子，因此，基态原子的第一电离能从小到大的顺序为C&lt; O &lt; N，B说法不正确；
C．B、C、O、N的未成对电子数分别为1、2、2、3，因此，基态原子未成对电子数B&lt;C=O&lt;N，C说法不正确；
D．〔公式对象 F021〕为平面结构，则其中的C和N原子轨道杂化类型均为〔公式对象 F022〕；〔公式对象 F023〕中B与4个O形成了4个σ键，B没有孤电子对，则B的原子轨道杂化类型为〔公式对象 F024〕；〔公式对象 F025〕中O分别与B和C形成了2个σ键，O原子还有2个孤电子对，则O的原子轨道的杂化类型均为〔公式对象 F026〕；综上所述，晶体中B、О和N原子轨道的杂化类型不相同，D说法不正确；
综上所述，本题选A。</x:v>
      </x:c>
      <x:c r="K4" s="50" t="n">
        <x:v>5</x:v>
      </x:c>
      <x:c r="L4" s="50" t="n">
        <x:v>12</x:v>
      </x:c>
      <x:c r="M4" s="50" t="str">
        <x:v>物质结构</x:v>
      </x:c>
      <x:c r="N4" s="42" t="str">
        <x:v>物质结构&gt;晶体结构&gt;化学键与晶胞</x:v>
      </x:c>
      <x:c r="O4" s="50" t="str">
        <x:v>hard</x:v>
      </x:c>
      <x:c r="P4" s="42" t="str">
        <x:v>需要综合多个条件，围绕化学键与晶胞进行多环节推理、定量计算或实验分析。</x:v>
      </x:c>
      <x:c r="Q4" s="50" t="str">
        <x:v>待审核</x:v>
      </x:c>
      <x:c r="R4" s="50" t="str">
        <x:v>待审核</x:v>
      </x:c>
      <x:c r="S4" s="43" t="str">
        <x:v>试题：E:\BISHE2026\题库\理综\2023年高考真题——理综（新课标卷）Word版含解析.doc
答案解析：E:\BISHE2026\题库\理综\2023年高考真题——理综（新课标卷）Word版含解析.doc</x:v>
      </x:c>
    </x:row>
    <x:row r="5" ht="72" customHeight="1">
      <x:c r="A5" s="49" t="str">
        <x:v>化学</x:v>
      </x:c>
      <x:c r="B5" s="50" t="n">
        <x:v>2023</x:v>
      </x:c>
      <x:c r="C5" s="50" t="str">
        <x:v>全国</x:v>
      </x:c>
      <x:c r="D5" s="50" t="str">
        <x:v>2023年高考真题——理综（新课标卷）</x:v>
      </x:c>
      <x:c r="E5" s="50" t="str">
        <x:v>10</x:v>
      </x:c>
      <x:c r="F5" s="50" t="str">
        <x:v>单选题</x:v>
      </x:c>
      <x:c r="G5" s="42" t="str">
        <x:v>一种以〔公式对象 F027〕和〔公式对象 F028〕为电极、〔公式对象 F029〕水溶液为电解质的电池，其示意图如下所示。放电时，〔公式对象 F030〕可插入〔公式对象 F031〕层间形成〔公式对象 F032〕。下列说法错误的是
〔图片对象 I033〕</x:v>
      </x:c>
      <x:c r="H5" s="42" t="str">
        <x:v>A. 放电时〔公式对象 F034〕为正极
B. 放电时〔公式对象 F035〕由负极向正极迁移
C. 充电总反应：〔公式对象 F036〕
D. 充电阳极反应：〔公式对象 F037〕</x:v>
      </x:c>
      <x:c r="I5" s="42" t="str">
        <x:v>C</x:v>
      </x:c>
      <x:c r="J5" s="42" t="str">
        <x:v>【分析】由题中信息可知，该电池中Zn为负极、〔公式对象 F038〕为正极，电池的总反应为〔公式对象 F039〕。
【详解】A．由题信息可知，放电时，〔公式对象 F040〕可插入〔公式对象 F041〕层间形成〔公式对象 F042〕，〔公式对象 F043〕发生了还原反应，则放电时〔公式对象 F044〕为正极，A说法正确；
B．Zn为负极，放电时Zn失去电子变为〔公式对象 F045〕，阳离子向正极迁移，则放电时〔公式对象 F046〕由负极向正极迁移，B说法正确；
C．电池在放电时的总反应为〔公式对象 F048〕，则其在充电时的总反应为〔公式对象 F049〕，C说法不正确；
D．充电阳极上〔公式对象 F050〕被氧化为〔公式对象 F051〕，则阳极的电极反应为〔公式对象 F052〕，D说法正确；
综上所述，本题选C。</x:v>
      </x:c>
      <x:c r="K5" s="50" t="n">
        <x:v>11</x:v>
      </x:c>
      <x:c r="L5" s="50" t="n">
        <x:v>14</x:v>
      </x:c>
      <x:c r="M5" s="50" t="str">
        <x:v>化学反应原理</x:v>
      </x:c>
      <x:c r="N5" s="42" t="str">
        <x:v>化学反应原理&gt;电化学&gt;原电池</x:v>
      </x:c>
      <x:c r="O5" s="50" t="str">
        <x:v>medium</x:v>
      </x:c>
      <x:c r="P5" s="42" t="str">
        <x:v>需要提取题干或图表信息，并结合原电池完成两步左右的判断或计算。</x:v>
      </x:c>
      <x:c r="Q5" s="50" t="str">
        <x:v>待审核</x:v>
      </x:c>
      <x:c r="R5" s="50" t="str">
        <x:v>待审核</x:v>
      </x:c>
      <x:c r="S5" s="43" t="str">
        <x:v>试题：E:\BISHE2026\题库\理综\2023年高考真题——理综（新课标卷）Word版含解析.doc
答案解析：E:\BISHE2026\题库\理综\2023年高考真题——理综（新课标卷）Word版含解析.doc</x:v>
      </x:c>
    </x:row>
    <x:row r="6" ht="72" customHeight="1">
      <x:c r="A6" s="49" t="str">
        <x:v>化学</x:v>
      </x:c>
      <x:c r="B6" s="50" t="n">
        <x:v>2023</x:v>
      </x:c>
      <x:c r="C6" s="50" t="str">
        <x:v>全国</x:v>
      </x:c>
      <x:c r="D6" s="50" t="str">
        <x:v>2023年高考真题——理综（全国甲卷）</x:v>
      </x:c>
      <x:c r="E6" s="50" t="str">
        <x:v>8</x:v>
      </x:c>
      <x:c r="F6" s="50" t="str">
        <x:v>单选题</x:v>
      </x:c>
      <x:c r="G6" s="42" t="str">
        <x:v>藿香蓟具有清热解毒功效，其有效成分结构如下。下列有关该物质的说法错误的是
〔图片对象 I009〕</x:v>
      </x:c>
      <x:c r="H6" s="42" t="str">
        <x:v>A. 可以发生水解反应
B. 所有碳原子处于同一平面
C. 含有2种含氧官能团
D. 能与溴水发生加成反应</x:v>
      </x:c>
      <x:c r="I6" s="42" t="str">
        <x:v>B</x:v>
      </x:c>
      <x:c r="J6" s="42" t="str">
        <x:v>【详解】A．藿香蓟的分子结构中含有酯基，因此其可以发生水解反应，A说法正确；
B．藿香蓟的分子结构中的右侧有一个饱和碳原子连接着两个甲基，类比甲烷分子的空间构型可知，藿香蓟分子中所有碳原子不可能处于同一平面，B说法错误；
C．藿香蓟的分子结构中含有酯基和醚键，因此其含有2种含氧官能团，C说法正确；
D．藿香蓟的分子结构中含有碳碳双键，因此，其能与溴水发生加成反应，D说法正确；
综上所述，本题选B。</x:v>
      </x:c>
      <x:c r="K6" s="50" t="n">
        <x:v>1</x:v>
      </x:c>
      <x:c r="L6" s="50" t="n">
        <x:v>0</x:v>
      </x:c>
      <x:c r="M6" s="50" t="str">
        <x:v>有机化学</x:v>
      </x:c>
      <x:c r="N6" s="42" t="str">
        <x:v>有机化学&gt;有机物结构与性质&gt;官能团</x:v>
      </x:c>
      <x:c r="O6" s="50" t="str">
        <x:v>medium</x:v>
      </x:c>
      <x:c r="P6" s="42" t="str">
        <x:v>需要提取题干或图表信息，并结合官能团完成两步左右的判断或计算。</x:v>
      </x:c>
      <x:c r="Q6" s="50" t="str">
        <x:v>待审核</x:v>
      </x:c>
      <x:c r="R6" s="50" t="str">
        <x:v>待审核</x:v>
      </x:c>
      <x:c r="S6" s="43" t="str">
        <x:v>试题：E:\BISHE2026\题库\理综\2023年高考真题——理综（全国甲卷）Word版含解析.doc
答案解析：E:\BISHE2026\题库\理综\2023年高考真题——理综（全国甲卷）Word版含解析.doc</x:v>
      </x:c>
    </x:row>
    <x:row r="7" ht="72" customHeight="1">
      <x:c r="A7" s="49" t="str">
        <x:v>化学</x:v>
      </x:c>
      <x:c r="B7" s="50" t="n">
        <x:v>2023</x:v>
      </x:c>
      <x:c r="C7" s="50" t="str">
        <x:v>全国</x:v>
      </x:c>
      <x:c r="D7" s="50" t="str">
        <x:v>2023年高考真题——理综（全国甲卷）</x:v>
      </x:c>
      <x:c r="E7" s="50" t="str">
        <x:v>9</x:v>
      </x:c>
      <x:c r="F7" s="50" t="str">
        <x:v>单选题</x:v>
      </x:c>
      <x:c r="G7" s="42" t="str">
        <x:v>实验室将粗盐提纯并配制〔公式对象 F010〕的〔公式对象 F011〕溶液。下列仪器中，本实验必须用到的有
①天平 ②温度计 ③坩埚 ④分液漏斗 ⑤容量瓶 ⑥烧杯 ⑦滴定管 ⑧酒精灯</x:v>
      </x:c>
      <x:c r="H7" s="42" t="str">
        <x:v>A. ①②④⑥
B. ①④⑤⑥
C. ②③⑦⑧
D. ①⑤⑥⑧</x:v>
      </x:c>
      <x:c r="I7" s="42" t="str">
        <x:v>D</x:v>
      </x:c>
      <x:c r="J7" s="42" t="str">
        <x:v>【详解】实验室将粗盐提纯时，需要将其溶于一定量的水中，然后将其中的硫酸根离子、钙离子、镁离子依次用稍过量的氯化钡溶液、碳酸钠溶液和氢氧化钠溶液除去，该过程中有过滤操作，需要用到烧杯、漏斗和玻璃棒；将所得滤液加适量盐酸酸化后蒸发结晶得到较纯的食盐，该过程要用到蒸发皿和酒精灯；用提纯后得到的精盐配制溶液的基本步骤有称量、溶解、转移、洗涤、定容、摇匀等操作，需要用到天平、容量瓶、烧杯、玻璃棒、胶头滴管等。综上所述，本实验必须用到的有①天平、⑤容量瓶、⑥烧杯、⑧酒精灯，因此本题选D。</x:v>
      </x:c>
      <x:c r="K7" s="50" t="n">
        <x:v>2</x:v>
      </x:c>
      <x:c r="L7" s="50" t="n">
        <x:v>0</x:v>
      </x:c>
      <x:c r="M7" s="50" t="str">
        <x:v>实验化学</x:v>
      </x:c>
      <x:c r="N7" s="42" t="str">
        <x:v>实验化学&gt;基本操作&gt;粗盐提纯与溶液配制</x:v>
      </x:c>
      <x:c r="O7" s="50" t="str">
        <x:v>easy</x:v>
      </x:c>
      <x:c r="P7" s="42" t="str">
        <x:v>考查粗盐提纯与溶液配制的直接识记或单步判断，条件明确，运算与推理量较小。</x:v>
      </x:c>
      <x:c r="Q7" s="50" t="str">
        <x:v>待审核</x:v>
      </x:c>
      <x:c r="R7" s="50" t="str">
        <x:v>待审核</x:v>
      </x:c>
      <x:c r="S7" s="43" t="str">
        <x:v>试题：E:\BISHE2026\题库\理综\2023年高考真题——理综（全国甲卷）Word版含解析.doc
答案解析：E:\BISHE2026\题库\理综\2023年高考真题——理综（全国甲卷）Word版含解析.doc</x:v>
      </x:c>
    </x:row>
    <x:row r="8" ht="72" customHeight="1">
      <x:c r="A8" s="49" t="str">
        <x:v>化学</x:v>
      </x:c>
      <x:c r="B8" s="50" t="n">
        <x:v>2023</x:v>
      </x:c>
      <x:c r="C8" s="50" t="str">
        <x:v>全国</x:v>
      </x:c>
      <x:c r="D8" s="50" t="str">
        <x:v>2023年高考真题——理综（全国甲卷）</x:v>
      </x:c>
      <x:c r="E8" s="50" t="str">
        <x:v>11</x:v>
      </x:c>
      <x:c r="F8" s="50" t="str">
        <x:v>单选题</x:v>
      </x:c>
      <x:c r="G8" s="42" t="str">
        <x:v>W、X、Y、Z为短周期主族元素，原子序数依次增大，最外层电子数之和为19。Y的最外层电子数与其K层电子数相等，WX₂是形成酸雨的物质之一。下列说法正确的是</x:v>
      </x:c>
      <x:c r="H8" s="42" t="str">
        <x:v>A. 原子半径：〔公式对象 F030〕
B. 简单氢化物的沸点：〔公式对象 F031〕
C. 〔公式对象 F032〕与〔公式对象 F033〕可形成离子化合物
D. 〔公式对象 F034〕的最高价含氧酸是弱酸</x:v>
      </x:c>
      <x:c r="I8" s="42" t="str">
        <x:v>C</x:v>
      </x:c>
      <x:c r="J8" s="42" t="str">
        <x:v>【分析】W、X、Y、Z为短周期主族元素，原子序数依次增大，WX₂是形成酸雨的物质之一，根据原子序数的规律，则W为N，X为O，Y的最外层电子数与其K层电子数相等，又因为Y的原子序数大于氧的，则Y电子层为3层，最外层电子数为2，所以Y为Mg，四种元素最外层电子数之和为19，则Z的最外层电子数为6，Z为S，据此解答。
【详解】A．X为O，W为N，同周期从左往右，原子半径依次减小，所以半径大小为W＞X，A错误；
B．X为O，Z为S，X的简单氢化物为H₂O，含有分子间氢键，Z的简单氢化物为H₂S，没有氢键，所以简单氢化物的沸点为X＞Z，B错误；
C．Y为Mg，X为O，他们可形成MgO，为离子化合物，C正确；
D．Z为S，硫的最高价含氧酸为硫酸，是强酸，D错误；
故选C。</x:v>
      </x:c>
      <x:c r="K8" s="50" t="n">
        <x:v>5</x:v>
      </x:c>
      <x:c r="L8" s="50" t="n">
        <x:v>0</x:v>
      </x:c>
      <x:c r="M8" s="50" t="str">
        <x:v>物质结构</x:v>
      </x:c>
      <x:c r="N8" s="42" t="str">
        <x:v>物质结构&gt;元素周期律&gt;短周期元素推断</x:v>
      </x:c>
      <x:c r="O8" s="50" t="str">
        <x:v>medium</x:v>
      </x:c>
      <x:c r="P8" s="42" t="str">
        <x:v>需要提取题干或图表信息，并结合短周期元素推断完成两步左右的判断或计算。</x:v>
      </x:c>
      <x:c r="Q8" s="50" t="str">
        <x:v>待审核</x:v>
      </x:c>
      <x:c r="R8" s="50" t="str">
        <x:v>待审核</x:v>
      </x:c>
      <x:c r="S8" s="43" t="str">
        <x:v>试题：E:\BISHE2026\题库\理综\2023年高考真题——理综（全国甲卷）Word版含解析.doc
答案解析：E:\BISHE2026\题库\理综\2023年高考真题——理综（全国甲卷）Word版含解析.doc</x:v>
      </x:c>
    </x:row>
    <x:row r="9" ht="72" customHeight="1">
      <x:c r="A9" s="49" t="str">
        <x:v>化学</x:v>
      </x:c>
      <x:c r="B9" s="50" t="n">
        <x:v>2024</x:v>
      </x:c>
      <x:c r="C9" s="50" t="str">
        <x:v>全国</x:v>
      </x:c>
      <x:c r="D9" s="50" t="str">
        <x:v>2024年高考真题——理综（新课标卷）</x:v>
      </x:c>
      <x:c r="E9" s="50" t="str">
        <x:v>8</x:v>
      </x:c>
      <x:c r="F9" s="50" t="str">
        <x:v>单选题</x:v>
      </x:c>
      <x:c r="G9" s="42" t="str">
        <x:v>一种点击化学方法合成聚硫酸酯(W)的路线如下所示：
〔图片对象 I017〕
下列说法正确的是</x:v>
      </x:c>
      <x:c r="H9" s="42" t="str">
        <x:v>A. 双酚A是苯酚的同系物，可与甲醛发生聚合反应
B. 〔图片对象 I018〕催化聚合也可生成W
C. 生成W的反应③为缩聚反应，同时生成〔图片对象 I019〕
D. 在碱性条件下，W比聚苯乙烯更难降解</x:v>
      </x:c>
      <x:c r="I9" s="42" t="str">
        <x:v>B</x:v>
      </x:c>
      <x:c r="J9" s="42" t="str">
        <x:v>【详解】Ａ．同系物之间的官能团的种类与数目均相同，双酚A有2个羟基，故其不是苯酚的同系物，A不正确；
B．题干中两种有机物之间通过缩聚反应生成W，根据题干中的反应机理可知，〔图片对象 I020〕 也可以通过缩聚反应生成W，B正确；
C．生成W的反应③为缩聚反应，同时生成〔公式对象 F021〕，C不正确；
D．W为聚硫酸酯，酯类物质在碱性条件下可以发生水解反应，因此，在碱性条件下，W比聚苯乙烯易降解，D不正确；
综上所述，本题选B。</x:v>
      </x:c>
      <x:c r="K9" s="50" t="n">
        <x:v>3</x:v>
      </x:c>
      <x:c r="L9" s="50" t="n">
        <x:v>2</x:v>
      </x:c>
      <x:c r="M9" s="50" t="str">
        <x:v>有机化学</x:v>
      </x:c>
      <x:c r="N9" s="42" t="str">
        <x:v>有机化学&gt;高分子化学&gt;加聚反应与官能团</x:v>
      </x:c>
      <x:c r="O9" s="50" t="str">
        <x:v>medium</x:v>
      </x:c>
      <x:c r="P9" s="42" t="str">
        <x:v>需要提取题干或图表信息，并结合加聚反应与官能团完成两步左右的判断或计算。</x:v>
      </x:c>
      <x:c r="Q9" s="50" t="str">
        <x:v>待审核</x:v>
      </x:c>
      <x:c r="R9" s="50" t="str">
        <x:v>待审核</x:v>
      </x:c>
      <x:c r="S9" s="43" t="str">
        <x:v>试题：E:\BISHE2026\题库\理综\新增\2024年高考新课标理综真题（解析版）.docx
答案解析：E:\BISHE2026\题库\理综\新增\2024年高考新课标理综真题（解析版）.docx</x:v>
      </x:c>
    </x:row>
    <x:row r="10" ht="72" customHeight="1">
      <x:c r="A10" s="49" t="str">
        <x:v>化学</x:v>
      </x:c>
      <x:c r="B10" s="50" t="n">
        <x:v>2024</x:v>
      </x:c>
      <x:c r="C10" s="50" t="str">
        <x:v>全国</x:v>
      </x:c>
      <x:c r="D10" s="50" t="str">
        <x:v>2024年高考真题——理综（新课标卷）</x:v>
      </x:c>
      <x:c r="E10" s="50" t="str">
        <x:v>9</x:v>
      </x:c>
      <x:c r="F10" s="50" t="str">
        <x:v>单选题</x:v>
      </x:c>
      <x:c r="G10" s="42" t="str">
        <x:v>实验室中利用下图装置验证铁与水蒸气反应。下列说法错误的是
〔图片对象 I022〕</x:v>
      </x:c>
      <x:c r="H10" s="42" t="str">
        <x:v>A. 反应为〔公式对象 F023〕
B. 酒精灯移至湿棉花下方实验效果更好
C. 用木柴点燃肥皂泡检验生成的氢气
D. 使用硬质玻璃试管盛装还原铁粉</x:v>
      </x:c>
      <x:c r="I10" s="42" t="str">
        <x:v>B</x:v>
      </x:c>
      <x:c r="J10" s="42" t="str">
        <x:v>【详解】A．铁和水蒸气在高温下发生反应生成〔公式对象 F024〕和〔公式对象 F025〕，该反应的化学方程式为〔公式对象 F026〕，A正确；
B．酒精灯放在铁粉下方加热可以产生高温，且不影响水的蒸发，若移至湿棉花下方则难以产生高温，则实验效果不好，B错误；
C．用木柴点燃肥皂泡，若产生尖锐的爆鸣声，则可检验生成的气体为氢气，C正确；
D．由于该实验中的反应要在高温下发生，因此要使用硬质玻璃试管盛装还原铁粉，D正确；
故选B。</x:v>
      </x:c>
      <x:c r="K10" s="50" t="n">
        <x:v>2</x:v>
      </x:c>
      <x:c r="L10" s="50" t="n">
        <x:v>3</x:v>
      </x:c>
      <x:c r="M10" s="50" t="str">
        <x:v>实验化学</x:v>
      </x:c>
      <x:c r="N10" s="42" t="str">
        <x:v>实验化学&gt;气体制备与性质验证&gt;铁与水蒸气反应</x:v>
      </x:c>
      <x:c r="O10" s="50" t="str">
        <x:v>medium</x:v>
      </x:c>
      <x:c r="P10" s="42" t="str">
        <x:v>需要提取题干或图表信息，并结合铁与水蒸气反应完成两步左右的判断或计算。</x:v>
      </x:c>
      <x:c r="Q10" s="50" t="str">
        <x:v>待审核</x:v>
      </x:c>
      <x:c r="R10" s="50" t="str">
        <x:v>待审核</x:v>
      </x:c>
      <x:c r="S10" s="43" t="str">
        <x:v>试题：E:\BISHE2026\题库\理综\新增\2024年高考新课标理综真题（解析版）.docx
答案解析：E:\BISHE2026\题库\理综\新增\2024年高考新课标理综真题（解析版）.docx</x:v>
      </x:c>
    </x:row>
    <x:row r="11" ht="72" customHeight="1">
      <x:c r="A11" s="49" t="str">
        <x:v>化学</x:v>
      </x:c>
      <x:c r="B11" s="50" t="n">
        <x:v>2024</x:v>
      </x:c>
      <x:c r="C11" s="50" t="str">
        <x:v>全国</x:v>
      </x:c>
      <x:c r="D11" s="50" t="str">
        <x:v>2024年高考真题——理综（新课标卷）</x:v>
      </x:c>
      <x:c r="E11" s="50" t="str">
        <x:v>12</x:v>
      </x:c>
      <x:c r="F11" s="50" t="str">
        <x:v>单选题</x:v>
      </x:c>
      <x:c r="G11" s="42" t="str">
        <x:v>一种可植入体内的微型电池工作原理如图所示，通过CuO催化消耗血糖发电，从而控制血糖浓度。当传感器检测到血糖浓度高于标准，电池启动。血糖浓度下降至标准，电池停止工作。(血糖浓度以葡萄糖浓度计)
〔图片对象 I071〕
电池工作时，下列叙述错误的是</x:v>
      </x:c>
      <x:c r="H11" s="42" t="str">
        <x:v>A. 电池总反应为〔公式对象 F072〕
B. b电极上CuO通过Cu(Ⅱ)和Cu(Ⅰ)相互转变起催化作用
C. 消耗18mg葡萄糖，理论上a电极有0.4mmol电子流入
D. 两电极间血液中的〔公式对象 F073〕在电场驱动下的迁移方向为b→a</x:v>
      </x:c>
      <x:c r="I11" s="42" t="str">
        <x:v>C</x:v>
      </x:c>
      <x:c r="J11" s="42" t="str">
        <x:v>【分析】由题中信息可知，b电极为负极，发生反应〔公式对象 F074〕，然后再发生〔公式对象 F075〕；a电极为正极，发生反应〔公式对象 F076〕，在这个过程中发生的总反应为〔公式对象 F077〕。
【详解】A．由题中信息可知，当电池开始工作时，a电极为电池正极，血液中的〔公式对象 F078〕在a电极上得电子生成〔公式对象 F079〕，电极反应式为〔公式对象 F080〕；b电极为电池负极， 〔公式对象 F081〕在b电极上失电子转化成CuO，电极反应式为〔公式对象 F082〕，然后葡萄糖被CuO氧化为葡萄糖酸，CuO被还原为〔公式对象 F083〕，则电池总反应为〔公式对象 F084〕，A正确；
B．b电极上CuO将葡萄糖被CuO氧化为葡萄糖酸后被还原为〔公式对象 F085〕，〔公式对象 F086〕在b电极上失电子转化成CuO，在这个过程中CuO的质量和化学性质保持不变，因此，CuO通过Cu(Ⅱ)和Cu(Ⅰ)相互转变起催化作用，B正确；
C．根据反应〔公式对象 F087〕可知，〔公式对象 F088〕参加反应时转移2 mol电子，〔公式对象 F089〕的物质的量为0.1 mmol，则消耗18 mg葡萄糖时，理论上a电极有0.2 mmol电子流入，C错误；
D．原电池中阳离子从负极移向正极迁移，故〔公式对象 F090〕迁移方向为b→a，D正确。
综上所述，本题选C。</x:v>
      </x:c>
      <x:c r="K11" s="50" t="n">
        <x:v>3</x:v>
      </x:c>
      <x:c r="L11" s="50" t="n">
        <x:v>17</x:v>
      </x:c>
      <x:c r="M11" s="50" t="str">
        <x:v>化学反应原理</x:v>
      </x:c>
      <x:c r="N11" s="42" t="str">
        <x:v>化学反应原理&gt;电化学&gt;原电池与催化</x:v>
      </x:c>
      <x:c r="O11" s="50" t="str">
        <x:v>medium</x:v>
      </x:c>
      <x:c r="P11" s="42" t="str">
        <x:v>需要提取题干或图表信息，并结合原电池与催化完成两步左右的判断或计算。</x:v>
      </x:c>
      <x:c r="Q11" s="50" t="str">
        <x:v>待审核</x:v>
      </x:c>
      <x:c r="R11" s="50" t="str">
        <x:v>待审核</x:v>
      </x:c>
      <x:c r="S11" s="43" t="str">
        <x:v>试题：E:\BISHE2026\题库\理综\新增\2024年高考新课标理综真题（解析版）.docx
答案解析：E:\BISHE2026\题库\理综\新增\2024年高考新课标理综真题（解析版）.docx</x:v>
      </x:c>
    </x:row>
    <x:row r="12" ht="72" customHeight="1">
      <x:c r="A12" s="51" t="str">
        <x:v>化学</x:v>
      </x:c>
      <x:c r="B12" s="52" t="n">
        <x:v>2024</x:v>
      </x:c>
      <x:c r="C12" s="52" t="str">
        <x:v>全国</x:v>
      </x:c>
      <x:c r="D12" s="52" t="str">
        <x:v>2024年高考真题——理综（新课标卷）</x:v>
      </x:c>
      <x:c r="E12" s="52" t="str">
        <x:v>13</x:v>
      </x:c>
      <x:c r="F12" s="52" t="str">
        <x:v>单选题</x:v>
      </x:c>
      <x:c r="G12" s="45" t="str">
        <x:v>常温下〔公式对象 F091〕和〔公式对象 F092〕的两种溶液中，分布系数δ与pH的变化关系如图所示。[比如：〔公式对象 F093〕]
〔图片对象 I094〕
下列叙述正确的是</x:v>
      </x:c>
      <x:c r="H12" s="45" t="str">
        <x:v>A. 曲线M表示〔公式对象 F095〕的变化关系
B. 若酸的初始浓度为〔公式对象 F096〕，则a点对应的溶液中有〔公式对象 F097〕
C. 〔公式对象 F098〕的电离常数〔公式对象 F099〕
D. 〔公式对象 F100〕时，〔公式对象 F101〕</x:v>
      </x:c>
      <x:c r="I12" s="45" t="str">
        <x:v>D</x:v>
      </x:c>
      <x:c r="J12" s="45" t="str">
        <x:v>【分析】随着pH的增大，〔公式对象 F102〕、〔公式对象 F103〕浓度减小，〔公式对象 F104〕、〔公式对象 F105〕浓度增大，—Cl为吸电子基团，〔公式对象 F106〕的酸性强于〔公式对象 F107〕，即〔公式对象 F108〕)，δ(酸分子)=δ(酸根离子)=0.5时的pH分别约为1.3、2.8，则两种酸的电离常数分别为〔公式对象 F109〕，〔公式对象 F110〕，由此分析解题。
【详解】A．根据分析，曲线M表示〔公式对象 F111〕的变化关系，A错误；
B．根据〔公式对象 F112〕，初始〔公式对象 F113〕，若溶液中溶质只有〔公式对象 F114〕，则〔公式对象 F115〕，但a点对应的〔公式对象 F116〕，说明此时溶液中加入了酸性更强的酸，根据电荷守恒，〔公式对象 F117〕，B错误；
C．根据分析，CH₂ClCOOH的电离常数Ka=10⁻².⁸，C错误；
D．电离度〔公式对象 F118〕，〔公式对象 F119〕，则〔公式对象 F120〕=〔公式对象 F121〕，〔公式对象 F122〕，〔公式对象 F123〕时，〔公式对象 F124〕，〔公式对象 F125〕，D正确；
故答案选D。
二、选择题：本题共8小题，每小题6分，共48分。在每小题给出的四个选项中，第14~18题只有一项符合题目要求，第19~21题有多项符合题目要求。全部选对的得6分，选对但不全的得3分，有选错的得0分。</x:v>
      </x:c>
      <x:c r="K12" s="52" t="n">
        <x:v>11</x:v>
      </x:c>
      <x:c r="L12" s="52" t="n">
        <x:v>24</x:v>
      </x:c>
      <x:c r="M12" s="52" t="str">
        <x:v>化学反应原理</x:v>
      </x:c>
      <x:c r="N12" s="45" t="str">
        <x:v>化学反应原理&gt;水溶液中的离子平衡&gt;分布系数与pH</x:v>
      </x:c>
      <x:c r="O12" s="52" t="str">
        <x:v>hard</x:v>
      </x:c>
      <x:c r="P12" s="45" t="str">
        <x:v>需要综合多个条件，围绕分布系数与pH进行多环节推理、定量计算或实验分析。</x:v>
      </x:c>
      <x:c r="Q12" s="52" t="str">
        <x:v>待审核</x:v>
      </x:c>
      <x:c r="R12" s="52" t="str">
        <x:v>待审核</x:v>
      </x:c>
      <x:c r="S12" s="46" t="str">
        <x:v>试题：E:\BISHE2026\题库\理综\新增\2024年高考新课标理综真题（解析版）.docx
答案解析：E:\BISHE2026\题库\理综\新增\2024年高考新课标理综真题（解析版）.docx</x:v>
      </x:c>
    </x:row>
  </x:sheetData>
  <x:mergeCells>
    <x:mergeCell ref="A1:S1"/>
  </x:mergeCells>
  <x:dataValidations count="2">
    <x:dataValidation type="list" sqref="O3:O12">
      <x:formula1>"easy,medium,hard"</x:formula1>
    </x:dataValidation>
    <x:dataValidation type="list" sqref="Q3:R12">
      <x:formula1>"待审核,审核通过,退回修改"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3b6611336f478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1.25" hidden="0" customWidth="1"/>
    <x:col min="3" max="3" width="23.1299991607666" hidden="0" customWidth="1"/>
  </x:cols>
  <x:sheetData>
    <x:row r="1" ht="28" customHeight="1">
      <x:c r="A1" s="55" t="str">
        <x:v>化学MVP导入候选题（待审核）质量统计</x:v>
      </x:c>
      <x:c r="B1" s="55"/>
      <x:c r="C1" s="55"/>
    </x:row>
    <x:row r="3">
      <x:c r="A3" s="60" t="str">
        <x:v>检查项</x:v>
      </x:c>
      <x:c r="B3" s="61" t="str">
        <x:v>结果</x:v>
      </x:c>
      <x:c r="C3" s="62" t="str">
        <x:v>说明</x:v>
      </x:c>
    </x:row>
    <x:row r="4">
      <x:c r="A4" s="81" t="str">
        <x:v>题目总数</x:v>
      </x:c>
      <x:c r="B4" s="93" t="n">
        <x:f>COUNTA('题目检查'!$E$3:$E$12)</x:f>
        <x:v>10</x:v>
      </x:c>
      <x:c r="C4" s="83" t="str">
        <x:v>按题号计数</x:v>
      </x:c>
    </x:row>
    <x:row r="5">
      <x:c r="A5" s="84" t="str">
        <x:v>2023新课标卷</x:v>
      </x:c>
      <x:c r="B5" s="94" t="n">
        <x:f>COUNTIF('题目检查'!$D$3:$D$12,"2023年高考真题——理综（新课标卷）")</x:f>
        <x:v>3</x:v>
      </x:c>
      <x:c r="C5" s="86" t="str">
        <x:v>题数</x:v>
      </x:c>
    </x:row>
    <x:row r="6">
      <x:c r="A6" s="84" t="str">
        <x:v>2023全国甲卷</x:v>
      </x:c>
      <x:c r="B6" s="94" t="n">
        <x:f>COUNTIF('题目检查'!$D$3:$D$12,"2023年高考真题——理综（全国甲卷）")</x:f>
        <x:v>3</x:v>
      </x:c>
      <x:c r="C6" s="86" t="str">
        <x:v>题数</x:v>
      </x:c>
    </x:row>
    <x:row r="7">
      <x:c r="A7" s="84" t="str">
        <x:v>2024新课标卷</x:v>
      </x:c>
      <x:c r="B7" s="94" t="n">
        <x:f>COUNTIF('题目检查'!$D$3:$D$12,"2024年高考真题——理综（新课标卷）")</x:f>
        <x:v>4</x:v>
      </x:c>
      <x:c r="C7" s="86" t="str">
        <x:v>题数</x:v>
      </x:c>
    </x:row>
    <x:row r="8">
      <x:c r="A8" s="84" t="str">
        <x:v>单选题</x:v>
      </x:c>
      <x:c r="B8" s="94" t="n">
        <x:f>COUNTIF('题目检查'!$F$3:$F$12,"单选题")</x:f>
        <x:v>10</x:v>
      </x:c>
      <x:c r="C8" s="86" t="str">
        <x:v>题数</x:v>
      </x:c>
    </x:row>
    <x:row r="9">
      <x:c r="A9" s="84" t="str">
        <x:v>知识点：化学反应原理</x:v>
      </x:c>
      <x:c r="B9" s="94" t="n">
        <x:f>COUNTIF('题目检查'!$M$3:$M$12,"化学反应原理")</x:f>
        <x:v>3</x:v>
      </x:c>
      <x:c r="C9" s="86" t="str">
        <x:v>按首个知识点分类</x:v>
      </x:c>
    </x:row>
    <x:row r="10">
      <x:c r="A10" s="84" t="str">
        <x:v>知识点：化学基本概念</x:v>
      </x:c>
      <x:c r="B10" s="94" t="n">
        <x:f>COUNTIF('题目检查'!$M$3:$M$12,"化学基本概念")</x:f>
        <x:v>1</x:v>
      </x:c>
      <x:c r="C10" s="86" t="str">
        <x:v>按首个知识点分类</x:v>
      </x:c>
    </x:row>
    <x:row r="11">
      <x:c r="A11" s="84" t="str">
        <x:v>知识点：实验化学</x:v>
      </x:c>
      <x:c r="B11" s="94" t="n">
        <x:f>COUNTIF('题目检查'!$M$3:$M$12,"实验化学")</x:f>
        <x:v>2</x:v>
      </x:c>
      <x:c r="C11" s="86" t="str">
        <x:v>按首个知识点分类</x:v>
      </x:c>
    </x:row>
    <x:row r="12">
      <x:c r="A12" s="84" t="str">
        <x:v>知识点：有机化学</x:v>
      </x:c>
      <x:c r="B12" s="94" t="n">
        <x:f>COUNTIF('题目检查'!$M$3:$M$12,"有机化学")</x:f>
        <x:v>2</x:v>
      </x:c>
      <x:c r="C12" s="86" t="str">
        <x:v>按首个知识点分类</x:v>
      </x:c>
    </x:row>
    <x:row r="13">
      <x:c r="A13" s="84" t="str">
        <x:v>知识点：物质结构</x:v>
      </x:c>
      <x:c r="B13" s="94" t="n">
        <x:f>COUNTIF('题目检查'!$M$3:$M$12,"物质结构")</x:f>
        <x:v>2</x:v>
      </x:c>
      <x:c r="C13" s="86" t="str">
        <x:v>按首个知识点分类</x:v>
      </x:c>
    </x:row>
    <x:row r="14">
      <x:c r="A14" s="84" t="str">
        <x:v>难度：easy</x:v>
      </x:c>
      <x:c r="B14" s="94" t="n">
        <x:f>COUNTIF('题目检查'!$O$3:$O$12,"easy")</x:f>
        <x:v>2</x:v>
      </x:c>
      <x:c r="C14" s="86" t="str">
        <x:v>题数</x:v>
      </x:c>
    </x:row>
    <x:row r="15">
      <x:c r="A15" s="84" t="str">
        <x:v>难度：medium</x:v>
      </x:c>
      <x:c r="B15" s="94" t="n">
        <x:f>COUNTIF('题目检查'!$O$3:$O$12,"medium")</x:f>
        <x:v>6</x:v>
      </x:c>
      <x:c r="C15" s="86" t="str">
        <x:v>题数</x:v>
      </x:c>
    </x:row>
    <x:row r="16">
      <x:c r="A16" s="84" t="str">
        <x:v>难度：hard</x:v>
      </x:c>
      <x:c r="B16" s="94" t="n">
        <x:f>COUNTIF('题目检查'!$O$3:$O$12,"hard")</x:f>
        <x:v>2</x:v>
      </x:c>
      <x:c r="C16" s="86" t="str">
        <x:v>题数</x:v>
      </x:c>
    </x:row>
    <x:row r="17">
      <x:c r="A17" s="84" t="str">
        <x:v>知识点空值</x:v>
      </x:c>
      <x:c r="B17" s="94" t="n">
        <x:f>COUNTBLANK('题目检查'!$N$3:$N$12)</x:f>
        <x:v>0</x:v>
      </x:c>
      <x:c r="C17" s="86" t="str">
        <x:v>应为0</x:v>
      </x:c>
    </x:row>
    <x:row r="18">
      <x:c r="A18" s="84" t="str">
        <x:v>难度空值</x:v>
      </x:c>
      <x:c r="B18" s="94" t="n">
        <x:f>COUNTBLANK('题目检查'!$O$3:$O$12)</x:f>
        <x:v>0</x:v>
      </x:c>
      <x:c r="C18" s="86" t="str">
        <x:v>应为0</x:v>
      </x:c>
    </x:row>
    <x:row r="19">
      <x:c r="A19" s="84" t="str">
        <x:v>难度说明空值</x:v>
      </x:c>
      <x:c r="B19" s="94" t="n">
        <x:f>COUNTBLANK('题目检查'!$P$3:$P$12)</x:f>
        <x:v>0</x:v>
      </x:c>
      <x:c r="C19" s="86" t="str">
        <x:v>应为0</x:v>
      </x:c>
    </x:row>
    <x:row r="20">
      <x:c r="A20" s="84" t="str">
        <x:v>题干图片</x:v>
      </x:c>
      <x:c r="B20" s="94" t="n">
        <x:f>SUM('题目检查'!$K$3:$K$12)</x:f>
        <x:v>43</x:v>
      </x:c>
      <x:c r="C20" s="86" t="str">
        <x:v>图片记录数</x:v>
      </x:c>
    </x:row>
    <x:row r="21">
      <x:c r="A21" s="84" t="str">
        <x:v>解析图片</x:v>
      </x:c>
      <x:c r="B21" s="94" t="n">
        <x:f>SUM('题目检查'!$L$3:$L$12)</x:f>
        <x:v>72</x:v>
      </x:c>
      <x:c r="C21" s="86" t="str">
        <x:v>图片记录数</x:v>
      </x:c>
    </x:row>
    <x:row r="22">
      <x:c r="A22" s="87" t="str">
        <x:v>待审核</x:v>
      </x:c>
      <x:c r="B22" s="95" t="n">
        <x:f>COUNTIF('题目检查'!$R$3:$R$12,"待审核")</x:f>
        <x:v>10</x:v>
      </x:c>
      <x:c r="C22" s="89" t="str">
        <x:v>应等于题目总数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75f7bf7a55bb415b"/>
  </x:tableParts>
</x:worksheet>
</file>