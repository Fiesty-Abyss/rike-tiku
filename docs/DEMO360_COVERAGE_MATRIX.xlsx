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82f5df92564d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43bde2f720aa4458"/>
    <x:sheet xmlns:r="http://schemas.openxmlformats.org/officeDocument/2006/relationships" name="Summary" sheetId="2" r:id="Ra8b7b25ae6e243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  <x:font>
      <x:sz val="10"/>
      <x:color rgb="FF1E3A8A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EFF6FF"/>
      </x:patternFill>
    </x:fill>
  </x:fills>
  <x:borders count="10">
    <x:border/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200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horizontal="left"/>
    </x:xf>
    <x:xf numFmtId="200" fontId="1" fillId="0" borderId="3" xfId="0" applyNumberFormat="1" applyFont="1" applyFill="1" applyBorder="1" applyAlignment="1">
      <x:alignment horizontal="right"/>
    </x:xf>
    <x:xf numFmtId="0" fontId="1" fillId="0" borderId="4" xfId="0" applyNumberFormat="1" applyFont="1" applyFill="1" applyBorder="1" applyAlignment="1">
      <x:alignment horizontal="left"/>
    </x:xf>
    <x:xf numFmtId="200" fontId="1" fillId="0" borderId="4" xfId="0" applyNumberFormat="1" applyFont="1" applyFill="1" applyBorder="1" applyAlignment="1">
      <x:alignment horizontal="right"/>
    </x:xf>
    <x:xf numFmtId="0" fontId="2" fillId="2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horizontal="left"/>
    </x:xf>
    <x:xf numFmtId="200" fontId="1" fillId="0" borderId="6" xfId="0" applyNumberFormat="1" applyFont="1" applyFill="1" applyBorder="1" applyAlignment="1">
      <x:alignment horizontal="right"/>
    </x:xf>
    <x:xf numFmtId="0" fontId="1" fillId="0" borderId="7" xfId="0" applyNumberFormat="1" applyFont="1" applyFill="1" applyBorder="1" applyAlignment="1">
      <x:alignment horizontal="left"/>
    </x:xf>
    <x:xf numFmtId="200" fontId="1" fillId="0" borderId="7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8" xfId="0" applyNumberFormat="1" applyFont="1" applyFill="1" applyBorder="1" applyAlignment="1">
      <x:alignment horizontal="center"/>
    </x:xf>
    <x:xf numFmtId="0" fontId="1" fillId="0" borderId="9" xfId="0" applyNumberFormat="1" applyFont="1" applyFill="1" applyBorder="1" applyAlignment="1">
      <x:alignment horizontal="center"/>
    </x:xf>
    <x:xf numFmtId="200" fontId="1" fillId="0" borderId="8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8f4b9c2764891" /><Relationship Type="http://schemas.openxmlformats.org/officeDocument/2006/relationships/theme" Target="/xl/theme/theme1.xml" Id="R69d3b855a1ec467a" /><Relationship Type="http://schemas.openxmlformats.org/officeDocument/2006/relationships/sharedStrings" Target="/xl/sharedStrings.xml" Id="R27e1d4f2f1a04033" /><Relationship Type="http://schemas.openxmlformats.org/officeDocument/2006/relationships/worksheet" Target="/xl/worksheets/sheet1.xml" Id="R43bde2f720aa4458" /><Relationship Type="http://schemas.openxmlformats.org/officeDocument/2006/relationships/worksheet" Target="/xl/worksheets/sheet2.xml" Id="Ra8b7b25ae6e243fe" /></Relationships>
</file>

<file path=xl/tables/table1.xml><?xml version="1.0" encoding="utf-8"?>
<x:table xmlns:x="http://schemas.openxmlformats.org/spreadsheetml/2006/main" id="1" name="Demo360CoverageTable" displayName="Demo360CoverageTable" ref="A1:L56" headerRowCount="1" totalsRowCount="0" totalsRowShown="0">
  <x:tableColumns count="12">
    <x:tableColumn id="1" name="subject"/>
    <x:tableColumn id="2" name="module"/>
    <x:tableColumn id="3" name="leaf_path"/>
    <x:tableColumn id="4" name="baseline_count"/>
    <x:tableColumn id="5" name="added_count"/>
    <x:tableColumn id="6" name="target_count"/>
    <x:tableColumn id="7" name="single_count"/>
    <x:tableColumn id="8" name="multiple_count"/>
    <x:tableColumn id="9" name="fill_count"/>
    <x:tableColumn id="10" name="easy_count"/>
    <x:tableColumn id="11" name="medium_count"/>
    <x:tableColumn id="12" name="hard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f8be9ee1204a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4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6" customHeight="1">
      <x:c r="A1" s="16" t="str">
        <x:v>subject</x:v>
      </x:c>
      <x:c r="B1" s="16" t="str">
        <x:v>module</x:v>
      </x:c>
      <x:c r="C1" s="16" t="str">
        <x:v>leaf_path</x:v>
      </x:c>
      <x:c r="D1" s="16" t="str">
        <x:v>baseline_count</x:v>
      </x:c>
      <x:c r="E1" s="16" t="str">
        <x:v>added_count</x:v>
      </x:c>
      <x:c r="F1" s="16" t="str">
        <x:v>target_count</x:v>
      </x:c>
      <x:c r="G1" s="16" t="str">
        <x:v>single_count</x:v>
      </x:c>
      <x:c r="H1" s="16" t="str">
        <x:v>multiple_count</x:v>
      </x:c>
      <x:c r="I1" s="16" t="str">
        <x:v>fill_count</x:v>
      </x:c>
      <x:c r="J1" s="16" t="str">
        <x:v>easy_count</x:v>
      </x:c>
      <x:c r="K1" s="16" t="str">
        <x:v>medium_count</x:v>
      </x:c>
      <x:c r="L1" s="16" t="str">
        <x:v>hard_count</x:v>
      </x:c>
    </x:row>
    <x:row r="2">
      <x:c r="A2" s="17" t="str">
        <x:v>PHYSICS</x:v>
      </x:c>
      <x:c r="B2" s="17" t="str">
        <x:v>光学</x:v>
      </x:c>
      <x:c r="C2" s="17" t="str">
        <x:v>光学&gt;几何光学与波动光学&gt;折射与干涉</x:v>
      </x:c>
      <x:c r="D2" s="18" t="str">
        <x:v>0</x:v>
      </x:c>
      <x:c r="E2" s="18" t="str">
        <x:v>4</x:v>
      </x:c>
      <x:c r="F2" s="18" t="str">
        <x:v>4</x:v>
      </x:c>
      <x:c r="G2" s="18" t="str">
        <x:v>1</x:v>
      </x:c>
      <x:c r="H2" s="18" t="str">
        <x:v>2</x:v>
      </x:c>
      <x:c r="I2" s="18" t="str">
        <x:v>1</x:v>
      </x:c>
      <x:c r="J2" s="18" t="str">
        <x:v>1</x:v>
      </x:c>
      <x:c r="K2" s="18" t="str">
        <x:v>1</x:v>
      </x:c>
      <x:c r="L2" s="18" t="str">
        <x:v>2</x:v>
      </x:c>
    </x:row>
    <x:row r="3">
      <x:c r="A3" s="17" t="str">
        <x:v>PHYSICS</x:v>
      </x:c>
      <x:c r="B3" s="17" t="str">
        <x:v>力学</x:v>
      </x:c>
      <x:c r="C3" s="17" t="str">
        <x:v>力学&gt;万有引力与航天&gt;卫星运动</x:v>
      </x:c>
      <x:c r="D3" s="18" t="str">
        <x:v>0</x:v>
      </x:c>
      <x:c r="E3" s="18" t="str">
        <x:v>5</x:v>
      </x:c>
      <x:c r="F3" s="18" t="str">
        <x:v>5</x:v>
      </x:c>
      <x:c r="G3" s="18" t="str">
        <x:v>2</x:v>
      </x:c>
      <x:c r="H3" s="18" t="str">
        <x:v>1</x:v>
      </x:c>
      <x:c r="I3" s="18" t="str">
        <x:v>2</x:v>
      </x:c>
      <x:c r="J3" s="18" t="str">
        <x:v>2</x:v>
      </x:c>
      <x:c r="K3" s="18" t="str">
        <x:v>3</x:v>
      </x:c>
      <x:c r="L3" s="18" t="str">
        <x:v>0</x:v>
      </x:c>
    </x:row>
    <x:row r="4">
      <x:c r="A4" s="17" t="str">
        <x:v>PHYSICS</x:v>
      </x:c>
      <x:c r="B4" s="17" t="str">
        <x:v>力学</x:v>
      </x:c>
      <x:c r="C4" s="17" t="str">
        <x:v>力学&gt;功和能&gt;机械能守恒</x:v>
      </x:c>
      <x:c r="D4" s="18" t="str">
        <x:v>0</x:v>
      </x:c>
      <x:c r="E4" s="18" t="str">
        <x:v>5</x:v>
      </x:c>
      <x:c r="F4" s="18" t="str">
        <x:v>5</x:v>
      </x:c>
      <x:c r="G4" s="18" t="str">
        <x:v>2</x:v>
      </x:c>
      <x:c r="H4" s="18" t="str">
        <x:v>1</x:v>
      </x:c>
      <x:c r="I4" s="18" t="str">
        <x:v>2</x:v>
      </x:c>
      <x:c r="J4" s="18" t="str">
        <x:v>2</x:v>
      </x:c>
      <x:c r="K4" s="18" t="str">
        <x:v>2</x:v>
      </x:c>
      <x:c r="L4" s="18" t="str">
        <x:v>1</x:v>
      </x:c>
    </x:row>
    <x:row r="5">
      <x:c r="A5" s="17" t="str">
        <x:v>PHYSICS</x:v>
      </x:c>
      <x:c r="B5" s="17" t="str">
        <x:v>力学</x:v>
      </x:c>
      <x:c r="C5" s="17" t="str">
        <x:v>力学&gt;动量&gt;动量守恒</x:v>
      </x:c>
      <x:c r="D5" s="18" t="str">
        <x:v>0</x:v>
      </x:c>
      <x:c r="E5" s="18" t="str">
        <x:v>5</x:v>
      </x:c>
      <x:c r="F5" s="18" t="str">
        <x:v>5</x:v>
      </x:c>
      <x:c r="G5" s="18" t="str">
        <x:v>2</x:v>
      </x:c>
      <x:c r="H5" s="18" t="str">
        <x:v>1</x:v>
      </x:c>
      <x:c r="I5" s="18" t="str">
        <x:v>2</x:v>
      </x:c>
      <x:c r="J5" s="18" t="str">
        <x:v>2</x:v>
      </x:c>
      <x:c r="K5" s="18" t="str">
        <x:v>2</x:v>
      </x:c>
      <x:c r="L5" s="18" t="str">
        <x:v>1</x:v>
      </x:c>
    </x:row>
    <x:row r="6">
      <x:c r="A6" s="17" t="str">
        <x:v>PHYSICS</x:v>
      </x:c>
      <x:c r="B6" s="17" t="str">
        <x:v>力学</x:v>
      </x:c>
      <x:c r="C6" s="17" t="str">
        <x:v>力学&gt;圆周运动&gt;向心力</x:v>
      </x:c>
      <x:c r="D6" s="18" t="str">
        <x:v>0</x:v>
      </x:c>
      <x:c r="E6" s="18" t="str">
        <x:v>5</x:v>
      </x:c>
      <x:c r="F6" s="18" t="str">
        <x:v>5</x:v>
      </x:c>
      <x:c r="G6" s="18" t="str">
        <x:v>2</x:v>
      </x:c>
      <x:c r="H6" s="18" t="str">
        <x:v>2</x:v>
      </x:c>
      <x:c r="I6" s="18" t="str">
        <x:v>1</x:v>
      </x:c>
      <x:c r="J6" s="18" t="str">
        <x:v>2</x:v>
      </x:c>
      <x:c r="K6" s="18" t="str">
        <x:v>3</x:v>
      </x:c>
      <x:c r="L6" s="18" t="str">
        <x:v>0</x:v>
      </x:c>
    </x:row>
    <x:row r="7">
      <x:c r="A7" s="17" t="str">
        <x:v>PHYSICS</x:v>
      </x:c>
      <x:c r="B7" s="17" t="str">
        <x:v>力学</x:v>
      </x:c>
      <x:c r="C7" s="17" t="str">
        <x:v>力学&gt;曲线运动&gt;运动的合成与分解</x:v>
      </x:c>
      <x:c r="D7" s="18" t="str">
        <x:v>0</x:v>
      </x:c>
      <x:c r="E7" s="18" t="str">
        <x:v>5</x:v>
      </x:c>
      <x:c r="F7" s="18" t="str">
        <x:v>5</x:v>
      </x:c>
      <x:c r="G7" s="18" t="str">
        <x:v>2</x:v>
      </x:c>
      <x:c r="H7" s="18" t="str">
        <x:v>2</x:v>
      </x:c>
      <x:c r="I7" s="18" t="str">
        <x:v>1</x:v>
      </x:c>
      <x:c r="J7" s="18" t="str">
        <x:v>2</x:v>
      </x:c>
      <x:c r="K7" s="18" t="str">
        <x:v>3</x:v>
      </x:c>
      <x:c r="L7" s="18" t="str">
        <x:v>0</x:v>
      </x:c>
    </x:row>
    <x:row r="8">
      <x:c r="A8" s="17" t="str">
        <x:v>PHYSICS</x:v>
      </x:c>
      <x:c r="B8" s="17" t="str">
        <x:v>力学</x:v>
      </x:c>
      <x:c r="C8" s="17" t="str">
        <x:v>力学&gt;机械振动与机械波&gt;波速、波长与频率</x:v>
      </x:c>
      <x:c r="D8" s="18" t="str">
        <x:v>0</x:v>
      </x:c>
      <x:c r="E8" s="18" t="str">
        <x:v>4</x:v>
      </x:c>
      <x:c r="F8" s="18" t="str">
        <x:v>4</x:v>
      </x:c>
      <x:c r="G8" s="18" t="str">
        <x:v>1</x:v>
      </x:c>
      <x:c r="H8" s="18" t="str">
        <x:v>2</x:v>
      </x:c>
      <x:c r="I8" s="18" t="str">
        <x:v>1</x:v>
      </x:c>
      <x:c r="J8" s="18" t="str">
        <x:v>1</x:v>
      </x:c>
      <x:c r="K8" s="18" t="str">
        <x:v>1</x:v>
      </x:c>
      <x:c r="L8" s="18" t="str">
        <x:v>2</x:v>
      </x:c>
    </x:row>
    <x:row r="9">
      <x:c r="A9" s="17" t="str">
        <x:v>PHYSICS</x:v>
      </x:c>
      <x:c r="B9" s="17" t="str">
        <x:v>力学</x:v>
      </x:c>
      <x:c r="C9" s="17" t="str">
        <x:v>力学&gt;机械振动与机械波&gt;简谐运动</x:v>
      </x:c>
      <x:c r="D9" s="18" t="str">
        <x:v>0</x:v>
      </x:c>
      <x:c r="E9" s="18" t="str">
        <x:v>4</x:v>
      </x:c>
      <x:c r="F9" s="18" t="str">
        <x:v>4</x:v>
      </x:c>
      <x:c r="G9" s="18" t="str">
        <x:v>1</x:v>
      </x:c>
      <x:c r="H9" s="18" t="str">
        <x:v>2</x:v>
      </x:c>
      <x:c r="I9" s="18" t="str">
        <x:v>1</x:v>
      </x:c>
      <x:c r="J9" s="18" t="str">
        <x:v>1</x:v>
      </x:c>
      <x:c r="K9" s="18" t="str">
        <x:v>1</x:v>
      </x:c>
      <x:c r="L9" s="18" t="str">
        <x:v>2</x:v>
      </x:c>
    </x:row>
    <x:row r="10">
      <x:c r="A10" s="17" t="str">
        <x:v>PHYSICS</x:v>
      </x:c>
      <x:c r="B10" s="17" t="str">
        <x:v>力学</x:v>
      </x:c>
      <x:c r="C10" s="17" t="str">
        <x:v>力学&gt;运动和力&gt;牛顿运动定律</x:v>
      </x:c>
      <x:c r="D10" s="18" t="str">
        <x:v>14</x:v>
      </x:c>
      <x:c r="E10" s="18" t="str">
        <x:v>5</x:v>
      </x:c>
      <x:c r="F10" s="18" t="str">
        <x:v>19</x:v>
      </x:c>
      <x:c r="G10" s="18" t="str">
        <x:v>7</x:v>
      </x:c>
      <x:c r="H10" s="18" t="str">
        <x:v>6</x:v>
      </x:c>
      <x:c r="I10" s="18" t="str">
        <x:v>6</x:v>
      </x:c>
      <x:c r="J10" s="18" t="str">
        <x:v>5</x:v>
      </x:c>
      <x:c r="K10" s="18" t="str">
        <x:v>9</x:v>
      </x:c>
      <x:c r="L10" s="18" t="str">
        <x:v>5</x:v>
      </x:c>
    </x:row>
    <x:row r="11">
      <x:c r="A11" s="17" t="str">
        <x:v>PHYSICS</x:v>
      </x:c>
      <x:c r="B11" s="17" t="str">
        <x:v>力学</x:v>
      </x:c>
      <x:c r="C11" s="17" t="str">
        <x:v>力学&gt;运动学&gt;匀变速直线运动</x:v>
      </x:c>
      <x:c r="D11" s="18" t="str">
        <x:v>0</x:v>
      </x:c>
      <x:c r="E11" s="18" t="str">
        <x:v>5</x:v>
      </x:c>
      <x:c r="F11" s="18" t="str">
        <x:v>5</x:v>
      </x:c>
      <x:c r="G11" s="18" t="str">
        <x:v>2</x:v>
      </x:c>
      <x:c r="H11" s="18" t="str">
        <x:v>2</x:v>
      </x:c>
      <x:c r="I11" s="18" t="str">
        <x:v>1</x:v>
      </x:c>
      <x:c r="J11" s="18" t="str">
        <x:v>2</x:v>
      </x:c>
      <x:c r="K11" s="18" t="str">
        <x:v>3</x:v>
      </x:c>
      <x:c r="L11" s="18" t="str">
        <x:v>0</x:v>
      </x:c>
    </x:row>
    <x:row r="12">
      <x:c r="A12" s="17" t="str">
        <x:v>PHYSICS</x:v>
      </x:c>
      <x:c r="B12" s="17" t="str">
        <x:v>热学</x:v>
      </x:c>
      <x:c r="C12" s="17" t="str">
        <x:v>热学&gt;分子动理论&gt;温度和内能</x:v>
      </x:c>
      <x:c r="D12" s="18" t="str">
        <x:v>13</x:v>
      </x:c>
      <x:c r="E12" s="18" t="str">
        <x:v>4</x:v>
      </x:c>
      <x:c r="F12" s="18" t="str">
        <x:v>17</x:v>
      </x:c>
      <x:c r="G12" s="18" t="str">
        <x:v>5</x:v>
      </x:c>
      <x:c r="H12" s="18" t="str">
        <x:v>6</x:v>
      </x:c>
      <x:c r="I12" s="18" t="str">
        <x:v>6</x:v>
      </x:c>
      <x:c r="J12" s="18" t="str">
        <x:v>6</x:v>
      </x:c>
      <x:c r="K12" s="18" t="str">
        <x:v>5</x:v>
      </x:c>
      <x:c r="L12" s="18" t="str">
        <x:v>6</x:v>
      </x:c>
    </x:row>
    <x:row r="13">
      <x:c r="A13" s="17" t="str">
        <x:v>PHYSICS</x:v>
      </x:c>
      <x:c r="B13" s="17" t="str">
        <x:v>物理实验</x:v>
      </x:c>
      <x:c r="C13" s="17" t="str">
        <x:v>物理实验&gt;数据处理&gt;不确定度与图像</x:v>
      </x:c>
      <x:c r="D13" s="18" t="str">
        <x:v>0</x:v>
      </x:c>
      <x:c r="E13" s="18" t="str">
        <x:v>4</x:v>
      </x:c>
      <x:c r="F13" s="18" t="str">
        <x:v>4</x:v>
      </x:c>
      <x:c r="G13" s="18" t="str">
        <x:v>1</x:v>
      </x:c>
      <x:c r="H13" s="18" t="str">
        <x:v>1</x:v>
      </x:c>
      <x:c r="I13" s="18" t="str">
        <x:v>2</x:v>
      </x:c>
      <x:c r="J13" s="18" t="str">
        <x:v>1</x:v>
      </x:c>
      <x:c r="K13" s="18" t="str">
        <x:v>1</x:v>
      </x:c>
      <x:c r="L13" s="18" t="str">
        <x:v>2</x:v>
      </x:c>
    </x:row>
    <x:row r="14">
      <x:c r="A14" s="17" t="str">
        <x:v>PHYSICS</x:v>
      </x:c>
      <x:c r="B14" s="17" t="str">
        <x:v>电磁学</x:v>
      </x:c>
      <x:c r="C14" s="17" t="str">
        <x:v>电磁学&gt;交变电流&gt;理想变压器</x:v>
      </x:c>
      <x:c r="D14" s="18" t="str">
        <x:v>0</x:v>
      </x:c>
      <x:c r="E14" s="18" t="str">
        <x:v>4</x:v>
      </x:c>
      <x:c r="F14" s="18" t="str">
        <x:v>4</x:v>
      </x:c>
      <x:c r="G14" s="18" t="str">
        <x:v>2</x:v>
      </x:c>
      <x:c r="H14" s="18" t="str">
        <x:v>1</x:v>
      </x:c>
      <x:c r="I14" s="18" t="str">
        <x:v>1</x:v>
      </x:c>
      <x:c r="J14" s="18" t="str">
        <x:v>1</x:v>
      </x:c>
      <x:c r="K14" s="18" t="str">
        <x:v>1</x:v>
      </x:c>
      <x:c r="L14" s="18" t="str">
        <x:v>2</x:v>
      </x:c>
    </x:row>
    <x:row r="15">
      <x:c r="A15" s="17" t="str">
        <x:v>PHYSICS</x:v>
      </x:c>
      <x:c r="B15" s="17" t="str">
        <x:v>电磁学</x:v>
      </x:c>
      <x:c r="C15" s="17" t="str">
        <x:v>电磁学&gt;恒定电流&gt;闭合电路</x:v>
      </x:c>
      <x:c r="D15" s="18" t="str">
        <x:v>0</x:v>
      </x:c>
      <x:c r="E15" s="18" t="str">
        <x:v>4</x:v>
      </x:c>
      <x:c r="F15" s="18" t="str">
        <x:v>4</x:v>
      </x:c>
      <x:c r="G15" s="18" t="str">
        <x:v>2</x:v>
      </x:c>
      <x:c r="H15" s="18" t="str">
        <x:v>1</x:v>
      </x:c>
      <x:c r="I15" s="18" t="str">
        <x:v>1</x:v>
      </x:c>
      <x:c r="J15" s="18" t="str">
        <x:v>1</x:v>
      </x:c>
      <x:c r="K15" s="18" t="str">
        <x:v>2</x:v>
      </x:c>
      <x:c r="L15" s="18" t="str">
        <x:v>1</x:v>
      </x:c>
    </x:row>
    <x:row r="16">
      <x:c r="A16" s="17" t="str">
        <x:v>PHYSICS</x:v>
      </x:c>
      <x:c r="B16" s="17" t="str">
        <x:v>电磁学</x:v>
      </x:c>
      <x:c r="C16" s="17" t="str">
        <x:v>电磁学&gt;电场&gt;电场强度</x:v>
      </x:c>
      <x:c r="D16" s="18" t="str">
        <x:v>13</x:v>
      </x:c>
      <x:c r="E16" s="18" t="str">
        <x:v>5</x:v>
      </x:c>
      <x:c r="F16" s="18" t="str">
        <x:v>18</x:v>
      </x:c>
      <x:c r="G16" s="18" t="str">
        <x:v>7</x:v>
      </x:c>
      <x:c r="H16" s="18" t="str">
        <x:v>5</x:v>
      </x:c>
      <x:c r="I16" s="18" t="str">
        <x:v>6</x:v>
      </x:c>
      <x:c r="J16" s="18" t="str">
        <x:v>4</x:v>
      </x:c>
      <x:c r="K16" s="18" t="str">
        <x:v>8</x:v>
      </x:c>
      <x:c r="L16" s="18" t="str">
        <x:v>6</x:v>
      </x:c>
    </x:row>
    <x:row r="17">
      <x:c r="A17" s="17" t="str">
        <x:v>PHYSICS</x:v>
      </x:c>
      <x:c r="B17" s="17" t="str">
        <x:v>电磁学</x:v>
      </x:c>
      <x:c r="C17" s="17" t="str">
        <x:v>电磁学&gt;电磁感应&gt;法拉第定律</x:v>
      </x:c>
      <x:c r="D17" s="18" t="str">
        <x:v>0</x:v>
      </x:c>
      <x:c r="E17" s="18" t="str">
        <x:v>4</x:v>
      </x:c>
      <x:c r="F17" s="18" t="str">
        <x:v>4</x:v>
      </x:c>
      <x:c r="G17" s="18" t="str">
        <x:v>2</x:v>
      </x:c>
      <x:c r="H17" s="18" t="str">
        <x:v>1</x:v>
      </x:c>
      <x:c r="I17" s="18" t="str">
        <x:v>1</x:v>
      </x:c>
      <x:c r="J17" s="18" t="str">
        <x:v>1</x:v>
      </x:c>
      <x:c r="K17" s="18" t="str">
        <x:v>1</x:v>
      </x:c>
      <x:c r="L17" s="18" t="str">
        <x:v>2</x:v>
      </x:c>
    </x:row>
    <x:row r="18">
      <x:c r="A18" s="17" t="str">
        <x:v>PHYSICS</x:v>
      </x:c>
      <x:c r="B18" s="17" t="str">
        <x:v>电磁学</x:v>
      </x:c>
      <x:c r="C18" s="17" t="str">
        <x:v>电磁学&gt;磁场&gt;洛伦兹力</x:v>
      </x:c>
      <x:c r="D18" s="18" t="str">
        <x:v>0</x:v>
      </x:c>
      <x:c r="E18" s="18" t="str">
        <x:v>4</x:v>
      </x:c>
      <x:c r="F18" s="18" t="str">
        <x:v>4</x:v>
      </x:c>
      <x:c r="G18" s="18" t="str">
        <x:v>2</x:v>
      </x:c>
      <x:c r="H18" s="18" t="str">
        <x:v>1</x:v>
      </x:c>
      <x:c r="I18" s="18" t="str">
        <x:v>1</x:v>
      </x:c>
      <x:c r="J18" s="18" t="str">
        <x:v>1</x:v>
      </x:c>
      <x:c r="K18" s="18" t="str">
        <x:v>1</x:v>
      </x:c>
      <x:c r="L18" s="18" t="str">
        <x:v>2</x:v>
      </x:c>
    </x:row>
    <x:row r="19">
      <x:c r="A19" s="17" t="str">
        <x:v>PHYSICS</x:v>
      </x:c>
      <x:c r="B19" s="17" t="str">
        <x:v>近代物理</x:v>
      </x:c>
      <x:c r="C19" s="17" t="str">
        <x:v>近代物理&gt;原子结构与原子核&gt;核反应</x:v>
      </x:c>
      <x:c r="D19" s="18" t="str">
        <x:v>0</x:v>
      </x:c>
      <x:c r="E19" s="18" t="str">
        <x:v>4</x:v>
      </x:c>
      <x:c r="F19" s="18" t="str">
        <x:v>4</x:v>
      </x:c>
      <x:c r="G19" s="18" t="str">
        <x:v>1</x:v>
      </x:c>
      <x:c r="H19" s="18" t="str">
        <x:v>1</x:v>
      </x:c>
      <x:c r="I19" s="18" t="str">
        <x:v>2</x:v>
      </x:c>
      <x:c r="J19" s="18" t="str">
        <x:v>1</x:v>
      </x:c>
      <x:c r="K19" s="18" t="str">
        <x:v>1</x:v>
      </x:c>
      <x:c r="L19" s="18" t="str">
        <x:v>2</x:v>
      </x:c>
    </x:row>
    <x:row r="20">
      <x:c r="A20" s="17" t="str">
        <x:v>CHEMISTRY</x:v>
      </x:c>
      <x:c r="B20" s="17" t="str">
        <x:v>化学反应原理</x:v>
      </x:c>
      <x:c r="C20" s="17" t="str">
        <x:v>化学反应原理&gt;化学平衡&gt;平衡移动</x:v>
      </x:c>
      <x:c r="D20" s="18" t="str">
        <x:v>13</x:v>
      </x:c>
      <x:c r="E20" s="18" t="str">
        <x:v>5</x:v>
      </x:c>
      <x:c r="F20" s="18" t="str">
        <x:v>18</x:v>
      </x:c>
      <x:c r="G20" s="18" t="str">
        <x:v>5</x:v>
      </x:c>
      <x:c r="H20" s="18" t="str">
        <x:v>6</x:v>
      </x:c>
      <x:c r="I20" s="18" t="str">
        <x:v>7</x:v>
      </x:c>
      <x:c r="J20" s="18" t="str">
        <x:v>6</x:v>
      </x:c>
      <x:c r="K20" s="18" t="str">
        <x:v>6</x:v>
      </x:c>
      <x:c r="L20" s="18" t="str">
        <x:v>6</x:v>
      </x:c>
    </x:row>
    <x:row r="21">
      <x:c r="A21" s="17" t="str">
        <x:v>CHEMISTRY</x:v>
      </x:c>
      <x:c r="B21" s="17" t="str">
        <x:v>化学反应原理</x:v>
      </x:c>
      <x:c r="C21" s="17" t="str">
        <x:v>化学反应原理&gt;反应热&gt;盖斯定律</x:v>
      </x:c>
      <x:c r="D21" s="18" t="str">
        <x:v>0</x:v>
      </x:c>
      <x:c r="E21" s="18" t="str">
        <x:v>5</x:v>
      </x:c>
      <x:c r="F21" s="18" t="str">
        <x:v>5</x:v>
      </x:c>
      <x:c r="G21" s="18" t="str">
        <x:v>2</x:v>
      </x:c>
      <x:c r="H21" s="18" t="str">
        <x:v>1</x:v>
      </x:c>
      <x:c r="I21" s="18" t="str">
        <x:v>2</x:v>
      </x:c>
      <x:c r="J21" s="18" t="str">
        <x:v>1</x:v>
      </x:c>
      <x:c r="K21" s="18" t="str">
        <x:v>2</x:v>
      </x:c>
      <x:c r="L21" s="18" t="str">
        <x:v>2</x:v>
      </x:c>
    </x:row>
    <x:row r="22">
      <x:c r="A22" s="17" t="str">
        <x:v>CHEMISTRY</x:v>
      </x:c>
      <x:c r="B22" s="17" t="str">
        <x:v>化学反应原理</x:v>
      </x:c>
      <x:c r="C22" s="17" t="str">
        <x:v>化学反应原理&gt;反应速率&gt;影响因素</x:v>
      </x:c>
      <x:c r="D22" s="18" t="str">
        <x:v>0</x:v>
      </x:c>
      <x:c r="E22" s="18" t="str">
        <x:v>5</x:v>
      </x:c>
      <x:c r="F22" s="18" t="str">
        <x:v>5</x:v>
      </x:c>
      <x:c r="G22" s="18" t="str">
        <x:v>2</x:v>
      </x:c>
      <x:c r="H22" s="18" t="str">
        <x:v>1</x:v>
      </x:c>
      <x:c r="I22" s="18" t="str">
        <x:v>2</x:v>
      </x:c>
      <x:c r="J22" s="18" t="str">
        <x:v>1</x:v>
      </x:c>
      <x:c r="K22" s="18" t="str">
        <x:v>2</x:v>
      </x:c>
      <x:c r="L22" s="18" t="str">
        <x:v>2</x:v>
      </x:c>
    </x:row>
    <x:row r="23">
      <x:c r="A23" s="17" t="str">
        <x:v>CHEMISTRY</x:v>
      </x:c>
      <x:c r="B23" s="17" t="str">
        <x:v>化学反应原理</x:v>
      </x:c>
      <x:c r="C23" s="17" t="str">
        <x:v>化学反应原理&gt;水溶液&gt;酸碱与pH</x:v>
      </x:c>
      <x:c r="D23" s="18" t="str">
        <x:v>0</x:v>
      </x:c>
      <x:c r="E23" s="18" t="str">
        <x:v>5</x:v>
      </x:c>
      <x:c r="F23" s="18" t="str">
        <x:v>5</x:v>
      </x:c>
      <x:c r="G23" s="18" t="str">
        <x:v>2</x:v>
      </x:c>
      <x:c r="H23" s="18" t="str">
        <x:v>1</x:v>
      </x:c>
      <x:c r="I23" s="18" t="str">
        <x:v>2</x:v>
      </x:c>
      <x:c r="J23" s="18" t="str">
        <x:v>1</x:v>
      </x:c>
      <x:c r="K23" s="18" t="str">
        <x:v>1</x:v>
      </x:c>
      <x:c r="L23" s="18" t="str">
        <x:v>3</x:v>
      </x:c>
    </x:row>
    <x:row r="24">
      <x:c r="A24" s="17" t="str">
        <x:v>CHEMISTRY</x:v>
      </x:c>
      <x:c r="B24" s="17" t="str">
        <x:v>化学反应原理</x:v>
      </x:c>
      <x:c r="C24" s="17" t="str">
        <x:v>化学反应原理&gt;电化学&gt;原电池与电解池</x:v>
      </x:c>
      <x:c r="D24" s="18" t="str">
        <x:v>0</x:v>
      </x:c>
      <x:c r="E24" s="18" t="str">
        <x:v>5</x:v>
      </x:c>
      <x:c r="F24" s="18" t="str">
        <x:v>5</x:v>
      </x:c>
      <x:c r="G24" s="18" t="str">
        <x:v>2</x:v>
      </x:c>
      <x:c r="H24" s="18" t="str">
        <x:v>1</x:v>
      </x:c>
      <x:c r="I24" s="18" t="str">
        <x:v>2</x:v>
      </x:c>
      <x:c r="J24" s="18" t="str">
        <x:v>1</x:v>
      </x:c>
      <x:c r="K24" s="18" t="str">
        <x:v>1</x:v>
      </x:c>
      <x:c r="L24" s="18" t="str">
        <x:v>3</x:v>
      </x:c>
    </x:row>
    <x:row r="25">
      <x:c r="A25" s="17" t="str">
        <x:v>CHEMISTRY</x:v>
      </x:c>
      <x:c r="B25" s="17" t="str">
        <x:v>化学基本概念</x:v>
      </x:c>
      <x:c r="C25" s="17" t="str">
        <x:v>化学基本概念&gt;化学与社会&gt;材料和文物保护</x:v>
      </x:c>
      <x:c r="D25" s="18" t="str">
        <x:v>0</x:v>
      </x:c>
      <x:c r="E25" s="18" t="str">
        <x:v>5</x:v>
      </x:c>
      <x:c r="F25" s="18" t="str">
        <x:v>5</x:v>
      </x:c>
      <x:c r="G25" s="18" t="str">
        <x:v>1</x:v>
      </x:c>
      <x:c r="H25" s="18" t="str">
        <x:v>2</x:v>
      </x:c>
      <x:c r="I25" s="18" t="str">
        <x:v>2</x:v>
      </x:c>
      <x:c r="J25" s="18" t="str">
        <x:v>1</x:v>
      </x:c>
      <x:c r="K25" s="18" t="str">
        <x:v>1</x:v>
      </x:c>
      <x:c r="L25" s="18" t="str">
        <x:v>3</x:v>
      </x:c>
    </x:row>
    <x:row r="26">
      <x:c r="A26" s="17" t="str">
        <x:v>CHEMISTRY</x:v>
      </x:c>
      <x:c r="B26" s="17" t="str">
        <x:v>化学基本概念</x:v>
      </x:c>
      <x:c r="C26" s="17" t="str">
        <x:v>化学基本概念&gt;物质分类&gt;分散系</x:v>
      </x:c>
      <x:c r="D26" s="18" t="str">
        <x:v>0</x:v>
      </x:c>
      <x:c r="E26" s="18" t="str">
        <x:v>6</x:v>
      </x:c>
      <x:c r="F26" s="18" t="str">
        <x:v>6</x:v>
      </x:c>
      <x:c r="G26" s="18" t="str">
        <x:v>2</x:v>
      </x:c>
      <x:c r="H26" s="18" t="str">
        <x:v>2</x:v>
      </x:c>
      <x:c r="I26" s="18" t="str">
        <x:v>2</x:v>
      </x:c>
      <x:c r="J26" s="18" t="str">
        <x:v>2</x:v>
      </x:c>
      <x:c r="K26" s="18" t="str">
        <x:v>3</x:v>
      </x:c>
      <x:c r="L26" s="18" t="str">
        <x:v>1</x:v>
      </x:c>
    </x:row>
    <x:row r="27">
      <x:c r="A27" s="17" t="str">
        <x:v>CHEMISTRY</x:v>
      </x:c>
      <x:c r="B27" s="17" t="str">
        <x:v>化学基本概念</x:v>
      </x:c>
      <x:c r="C27" s="17" t="str">
        <x:v>化学基本概念&gt;物质的量&gt;摩尔计算</x:v>
      </x:c>
      <x:c r="D27" s="18" t="str">
        <x:v>13</x:v>
      </x:c>
      <x:c r="E27" s="18" t="str">
        <x:v>5</x:v>
      </x:c>
      <x:c r="F27" s="18" t="str">
        <x:v>18</x:v>
      </x:c>
      <x:c r="G27" s="18" t="str">
        <x:v>7</x:v>
      </x:c>
      <x:c r="H27" s="18" t="str">
        <x:v>6</x:v>
      </x:c>
      <x:c r="I27" s="18" t="str">
        <x:v>5</x:v>
      </x:c>
      <x:c r="J27" s="18" t="str">
        <x:v>6</x:v>
      </x:c>
      <x:c r="K27" s="18" t="str">
        <x:v>7</x:v>
      </x:c>
      <x:c r="L27" s="18" t="str">
        <x:v>5</x:v>
      </x:c>
    </x:row>
    <x:row r="28">
      <x:c r="A28" s="17" t="str">
        <x:v>CHEMISTRY</x:v>
      </x:c>
      <x:c r="B28" s="17" t="str">
        <x:v>化学基本概念</x:v>
      </x:c>
      <x:c r="C28" s="17" t="str">
        <x:v>化学基本概念&gt;离子反应&gt;离子方程式</x:v>
      </x:c>
      <x:c r="D28" s="18" t="str">
        <x:v>0</x:v>
      </x:c>
      <x:c r="E28" s="18" t="str">
        <x:v>5</x:v>
      </x:c>
      <x:c r="F28" s="18" t="str">
        <x:v>5</x:v>
      </x:c>
      <x:c r="G28" s="18" t="str">
        <x:v>2</x:v>
      </x:c>
      <x:c r="H28" s="18" t="str">
        <x:v>2</x:v>
      </x:c>
      <x:c r="I28" s="18" t="str">
        <x:v>1</x:v>
      </x:c>
      <x:c r="J28" s="18" t="str">
        <x:v>2</x:v>
      </x:c>
      <x:c r="K28" s="18" t="str">
        <x:v>3</x:v>
      </x:c>
      <x:c r="L28" s="18" t="str">
        <x:v>0</x:v>
      </x:c>
    </x:row>
    <x:row r="29">
      <x:c r="A29" s="17" t="str">
        <x:v>CHEMISTRY</x:v>
      </x:c>
      <x:c r="B29" s="17" t="str">
        <x:v>化学实验</x:v>
      </x:c>
      <x:c r="C29" s="17" t="str">
        <x:v>化学实验&gt;实验方法&gt;分离检验与安全</x:v>
      </x:c>
      <x:c r="D29" s="18" t="str">
        <x:v>0</x:v>
      </x:c>
      <x:c r="E29" s="18" t="str">
        <x:v>5</x:v>
      </x:c>
      <x:c r="F29" s="18" t="str">
        <x:v>5</x:v>
      </x:c>
      <x:c r="G29" s="18" t="str">
        <x:v>2</x:v>
      </x:c>
      <x:c r="H29" s="18" t="str">
        <x:v>1</x:v>
      </x:c>
      <x:c r="I29" s="18" t="str">
        <x:v>2</x:v>
      </x:c>
      <x:c r="J29" s="18" t="str">
        <x:v>1</x:v>
      </x:c>
      <x:c r="K29" s="18" t="str">
        <x:v>1</x:v>
      </x:c>
      <x:c r="L29" s="18" t="str">
        <x:v>3</x:v>
      </x:c>
    </x:row>
    <x:row r="30">
      <x:c r="A30" s="17" t="str">
        <x:v>CHEMISTRY</x:v>
      </x:c>
      <x:c r="B30" s="17" t="str">
        <x:v>无机化学</x:v>
      </x:c>
      <x:c r="C30" s="17" t="str">
        <x:v>无机化学&gt;元素化合物&gt;氧化还原反应</x:v>
      </x:c>
      <x:c r="D30" s="18" t="str">
        <x:v>13</x:v>
      </x:c>
      <x:c r="E30" s="18" t="str">
        <x:v>5</x:v>
      </x:c>
      <x:c r="F30" s="18" t="str">
        <x:v>18</x:v>
      </x:c>
      <x:c r="G30" s="18" t="str">
        <x:v>7</x:v>
      </x:c>
      <x:c r="H30" s="18" t="str">
        <x:v>6</x:v>
      </x:c>
      <x:c r="I30" s="18" t="str">
        <x:v>5</x:v>
      </x:c>
      <x:c r="J30" s="18" t="str">
        <x:v>6</x:v>
      </x:c>
      <x:c r="K30" s="18" t="str">
        <x:v>8</x:v>
      </x:c>
      <x:c r="L30" s="18" t="str">
        <x:v>4</x:v>
      </x:c>
    </x:row>
    <x:row r="31">
      <x:c r="A31" s="17" t="str">
        <x:v>CHEMISTRY</x:v>
      </x:c>
      <x:c r="B31" s="17" t="str">
        <x:v>无机化学</x:v>
      </x:c>
      <x:c r="C31" s="17" t="str">
        <x:v>无机化学&gt;金属及其化合物&gt;铁及其化合物</x:v>
      </x:c>
      <x:c r="D31" s="18" t="str">
        <x:v>0</x:v>
      </x:c>
      <x:c r="E31" s="18" t="str">
        <x:v>5</x:v>
      </x:c>
      <x:c r="F31" s="18" t="str">
        <x:v>5</x:v>
      </x:c>
      <x:c r="G31" s="18" t="str">
        <x:v>2</x:v>
      </x:c>
      <x:c r="H31" s="18" t="str">
        <x:v>2</x:v>
      </x:c>
      <x:c r="I31" s="18" t="str">
        <x:v>1</x:v>
      </x:c>
      <x:c r="J31" s="18" t="str">
        <x:v>2</x:v>
      </x:c>
      <x:c r="K31" s="18" t="str">
        <x:v>3</x:v>
      </x:c>
      <x:c r="L31" s="18" t="str">
        <x:v>0</x:v>
      </x:c>
    </x:row>
    <x:row r="32">
      <x:c r="A32" s="17" t="str">
        <x:v>CHEMISTRY</x:v>
      </x:c>
      <x:c r="B32" s="17" t="str">
        <x:v>无机化学</x:v>
      </x:c>
      <x:c r="C32" s="17" t="str">
        <x:v>无机化学&gt;非金属及其化合物&gt;氯及其化合物</x:v>
      </x:c>
      <x:c r="D32" s="18" t="str">
        <x:v>0</x:v>
      </x:c>
      <x:c r="E32" s="18" t="str">
        <x:v>5</x:v>
      </x:c>
      <x:c r="F32" s="18" t="str">
        <x:v>5</x:v>
      </x:c>
      <x:c r="G32" s="18" t="str">
        <x:v>2</x:v>
      </x:c>
      <x:c r="H32" s="18" t="str">
        <x:v>2</x:v>
      </x:c>
      <x:c r="I32" s="18" t="str">
        <x:v>1</x:v>
      </x:c>
      <x:c r="J32" s="18" t="str">
        <x:v>2</x:v>
      </x:c>
      <x:c r="K32" s="18" t="str">
        <x:v>3</x:v>
      </x:c>
      <x:c r="L32" s="18" t="str">
        <x:v>0</x:v>
      </x:c>
    </x:row>
    <x:row r="33">
      <x:c r="A33" s="17" t="str">
        <x:v>CHEMISTRY</x:v>
      </x:c>
      <x:c r="B33" s="17" t="str">
        <x:v>有机化学基础</x:v>
      </x:c>
      <x:c r="C33" s="17" t="str">
        <x:v>有机化学基础&gt;烃及其衍生物&gt;官能团与反应</x:v>
      </x:c>
      <x:c r="D33" s="18" t="str">
        <x:v>0</x:v>
      </x:c>
      <x:c r="E33" s="18" t="str">
        <x:v>5</x:v>
      </x:c>
      <x:c r="F33" s="18" t="str">
        <x:v>5</x:v>
      </x:c>
      <x:c r="G33" s="18" t="str">
        <x:v>2</x:v>
      </x:c>
      <x:c r="H33" s="18" t="str">
        <x:v>1</x:v>
      </x:c>
      <x:c r="I33" s="18" t="str">
        <x:v>2</x:v>
      </x:c>
      <x:c r="J33" s="18" t="str">
        <x:v>1</x:v>
      </x:c>
      <x:c r="K33" s="18" t="str">
        <x:v>1</x:v>
      </x:c>
      <x:c r="L33" s="18" t="str">
        <x:v>3</x:v>
      </x:c>
    </x:row>
    <x:row r="34">
      <x:c r="A34" s="17" t="str">
        <x:v>CHEMISTRY</x:v>
      </x:c>
      <x:c r="B34" s="17" t="str">
        <x:v>物质结构与性质</x:v>
      </x:c>
      <x:c r="C34" s="17" t="str">
        <x:v>物质结构与性质&gt;元素周期律&gt;周期性变化</x:v>
      </x:c>
      <x:c r="D34" s="18" t="str">
        <x:v>0</x:v>
      </x:c>
      <x:c r="E34" s="18" t="str">
        <x:v>5</x:v>
      </x:c>
      <x:c r="F34" s="18" t="str">
        <x:v>5</x:v>
      </x:c>
      <x:c r="G34" s="18" t="str">
        <x:v>2</x:v>
      </x:c>
      <x:c r="H34" s="18" t="str">
        <x:v>2</x:v>
      </x:c>
      <x:c r="I34" s="18" t="str">
        <x:v>1</x:v>
      </x:c>
      <x:c r="J34" s="18" t="str">
        <x:v>2</x:v>
      </x:c>
      <x:c r="K34" s="18" t="str">
        <x:v>3</x:v>
      </x:c>
      <x:c r="L34" s="18" t="str">
        <x:v>0</x:v>
      </x:c>
    </x:row>
    <x:row r="35">
      <x:c r="A35" s="17" t="str">
        <x:v>CHEMISTRY</x:v>
      </x:c>
      <x:c r="B35" s="17" t="str">
        <x:v>物质结构与性质</x:v>
      </x:c>
      <x:c r="C35" s="17" t="str">
        <x:v>物质结构与性质&gt;化学键&gt;离子键与共价键</x:v>
      </x:c>
      <x:c r="D35" s="18" t="str">
        <x:v>0</x:v>
      </x:c>
      <x:c r="E35" s="18" t="str">
        <x:v>5</x:v>
      </x:c>
      <x:c r="F35" s="18" t="str">
        <x:v>5</x:v>
      </x:c>
      <x:c r="G35" s="18" t="str">
        <x:v>2</x:v>
      </x:c>
      <x:c r="H35" s="18" t="str">
        <x:v>2</x:v>
      </x:c>
      <x:c r="I35" s="18" t="str">
        <x:v>1</x:v>
      </x:c>
      <x:c r="J35" s="18" t="str">
        <x:v>1</x:v>
      </x:c>
      <x:c r="K35" s="18" t="str">
        <x:v>3</x:v>
      </x:c>
      <x:c r="L35" s="18" t="str">
        <x:v>1</x:v>
      </x:c>
    </x:row>
    <x:row r="36">
      <x:c r="A36" s="17" t="str">
        <x:v>BIOLOGY</x:v>
      </x:c>
      <x:c r="B36" s="17" t="str">
        <x:v>分子与细胞</x:v>
      </x:c>
      <x:c r="C36" s="17" t="str">
        <x:v>分子与细胞&gt;组成细胞的分子&gt;蛋白质与核酸</x:v>
      </x:c>
      <x:c r="D36" s="18" t="str">
        <x:v>0</x:v>
      </x:c>
      <x:c r="E36" s="18" t="str">
        <x:v>4</x:v>
      </x:c>
      <x:c r="F36" s="18" t="str">
        <x:v>4</x:v>
      </x:c>
      <x:c r="G36" s="18" t="str">
        <x:v>2</x:v>
      </x:c>
      <x:c r="H36" s="18" t="str">
        <x:v>1</x:v>
      </x:c>
      <x:c r="I36" s="18" t="str">
        <x:v>1</x:v>
      </x:c>
      <x:c r="J36" s="18" t="str">
        <x:v>2</x:v>
      </x:c>
      <x:c r="K36" s="18" t="str">
        <x:v>2</x:v>
      </x:c>
      <x:c r="L36" s="18" t="str">
        <x:v>0</x:v>
      </x:c>
    </x:row>
    <x:row r="37">
      <x:c r="A37" s="17" t="str">
        <x:v>BIOLOGY</x:v>
      </x:c>
      <x:c r="B37" s="17" t="str">
        <x:v>分子与细胞</x:v>
      </x:c>
      <x:c r="C37" s="17" t="str">
        <x:v>分子与细胞&gt;细胞代谢&gt;光合作用</x:v>
      </x:c>
      <x:c r="D37" s="18" t="str">
        <x:v>0</x:v>
      </x:c>
      <x:c r="E37" s="18" t="str">
        <x:v>4</x:v>
      </x:c>
      <x:c r="F37" s="18" t="str">
        <x:v>4</x:v>
      </x:c>
      <x:c r="G37" s="18" t="str">
        <x:v>2</x:v>
      </x:c>
      <x:c r="H37" s="18" t="str">
        <x:v>1</x:v>
      </x:c>
      <x:c r="I37" s="18" t="str">
        <x:v>1</x:v>
      </x:c>
      <x:c r="J37" s="18" t="str">
        <x:v>1</x:v>
      </x:c>
      <x:c r="K37" s="18" t="str">
        <x:v>2</x:v>
      </x:c>
      <x:c r="L37" s="18" t="str">
        <x:v>1</x:v>
      </x:c>
    </x:row>
    <x:row r="38">
      <x:c r="A38" s="17" t="str">
        <x:v>BIOLOGY</x:v>
      </x:c>
      <x:c r="B38" s="17" t="str">
        <x:v>分子与细胞</x:v>
      </x:c>
      <x:c r="C38" s="17" t="str">
        <x:v>分子与细胞&gt;细胞代谢&gt;细胞呼吸</x:v>
      </x:c>
      <x:c r="D38" s="18" t="str">
        <x:v>0</x:v>
      </x:c>
      <x:c r="E38" s="18" t="str">
        <x:v>4</x:v>
      </x:c>
      <x:c r="F38" s="18" t="str">
        <x:v>4</x:v>
      </x:c>
      <x:c r="G38" s="18" t="str">
        <x:v>2</x:v>
      </x:c>
      <x:c r="H38" s="18" t="str">
        <x:v>1</x:v>
      </x:c>
      <x:c r="I38" s="18" t="str">
        <x:v>1</x:v>
      </x:c>
      <x:c r="J38" s="18" t="str">
        <x:v>1</x:v>
      </x:c>
      <x:c r="K38" s="18" t="str">
        <x:v>2</x:v>
      </x:c>
      <x:c r="L38" s="18" t="str">
        <x:v>1</x:v>
      </x:c>
    </x:row>
    <x:row r="39">
      <x:c r="A39" s="17" t="str">
        <x:v>BIOLOGY</x:v>
      </x:c>
      <x:c r="B39" s="17" t="str">
        <x:v>分子与细胞</x:v>
      </x:c>
      <x:c r="C39" s="17" t="str">
        <x:v>分子与细胞&gt;细胞代谢&gt;酶与ATP</x:v>
      </x:c>
      <x:c r="D39" s="18" t="str">
        <x:v>0</x:v>
      </x:c>
      <x:c r="E39" s="18" t="str">
        <x:v>4</x:v>
      </x:c>
      <x:c r="F39" s="18" t="str">
        <x:v>4</x:v>
      </x:c>
      <x:c r="G39" s="18" t="str">
        <x:v>2</x:v>
      </x:c>
      <x:c r="H39" s="18" t="str">
        <x:v>1</x:v>
      </x:c>
      <x:c r="I39" s="18" t="str">
        <x:v>1</x:v>
      </x:c>
      <x:c r="J39" s="18" t="str">
        <x:v>1</x:v>
      </x:c>
      <x:c r="K39" s="18" t="str">
        <x:v>2</x:v>
      </x:c>
      <x:c r="L39" s="18" t="str">
        <x:v>1</x:v>
      </x:c>
    </x:row>
    <x:row r="40">
      <x:c r="A40" s="17" t="str">
        <x:v>BIOLOGY</x:v>
      </x:c>
      <x:c r="B40" s="17" t="str">
        <x:v>分子与细胞</x:v>
      </x:c>
      <x:c r="C40" s="17" t="str">
        <x:v>分子与细胞&gt;细胞生命历程&gt;有丝分裂与凋亡</x:v>
      </x:c>
      <x:c r="D40" s="18" t="str">
        <x:v>0</x:v>
      </x:c>
      <x:c r="E40" s="18" t="str">
        <x:v>4</x:v>
      </x:c>
      <x:c r="F40" s="18" t="str">
        <x:v>4</x:v>
      </x:c>
      <x:c r="G40" s="18" t="str">
        <x:v>2</x:v>
      </x:c>
      <x:c r="H40" s="18" t="str">
        <x:v>1</x:v>
      </x:c>
      <x:c r="I40" s="18" t="str">
        <x:v>1</x:v>
      </x:c>
      <x:c r="J40" s="18" t="str">
        <x:v>1</x:v>
      </x:c>
      <x:c r="K40" s="18" t="str">
        <x:v>2</x:v>
      </x:c>
      <x:c r="L40" s="18" t="str">
        <x:v>1</x:v>
      </x:c>
    </x:row>
    <x:row r="41">
      <x:c r="A41" s="17" t="str">
        <x:v>BIOLOGY</x:v>
      </x:c>
      <x:c r="B41" s="17" t="str">
        <x:v>分子与细胞</x:v>
      </x:c>
      <x:c r="C41" s="17" t="str">
        <x:v>分子与细胞&gt;细胞的物质输入和输出&gt;葡萄糖运输</x:v>
      </x:c>
      <x:c r="D41" s="18" t="str">
        <x:v>0</x:v>
      </x:c>
      <x:c r="E41" s="18" t="str">
        <x:v>4</x:v>
      </x:c>
      <x:c r="F41" s="18" t="str">
        <x:v>4</x:v>
      </x:c>
      <x:c r="G41" s="18" t="str">
        <x:v>2</x:v>
      </x:c>
      <x:c r="H41" s="18" t="str">
        <x:v>1</x:v>
      </x:c>
      <x:c r="I41" s="18" t="str">
        <x:v>1</x:v>
      </x:c>
      <x:c r="J41" s="18" t="str">
        <x:v>1</x:v>
      </x:c>
      <x:c r="K41" s="18" t="str">
        <x:v>2</x:v>
      </x:c>
      <x:c r="L41" s="18" t="str">
        <x:v>1</x:v>
      </x:c>
    </x:row>
    <x:row r="42">
      <x:c r="A42" s="17" t="str">
        <x:v>BIOLOGY</x:v>
      </x:c>
      <x:c r="B42" s="17" t="str">
        <x:v>分子与细胞</x:v>
      </x:c>
      <x:c r="C42" s="17" t="str">
        <x:v>分子与细胞&gt;细胞结构&gt;细胞膜</x:v>
      </x:c>
      <x:c r="D42" s="18" t="str">
        <x:v>14</x:v>
      </x:c>
      <x:c r="E42" s="18" t="str">
        <x:v>4</x:v>
      </x:c>
      <x:c r="F42" s="18" t="str">
        <x:v>18</x:v>
      </x:c>
      <x:c r="G42" s="18" t="str">
        <x:v>8</x:v>
      </x:c>
      <x:c r="H42" s="18" t="str">
        <x:v>5</x:v>
      </x:c>
      <x:c r="I42" s="18" t="str">
        <x:v>5</x:v>
      </x:c>
      <x:c r="J42" s="18" t="str">
        <x:v>7</x:v>
      </x:c>
      <x:c r="K42" s="18" t="str">
        <x:v>6</x:v>
      </x:c>
      <x:c r="L42" s="18" t="str">
        <x:v>5</x:v>
      </x:c>
    </x:row>
    <x:row r="43">
      <x:c r="A43" s="17" t="str">
        <x:v>BIOLOGY</x:v>
      </x:c>
      <x:c r="B43" s="17" t="str">
        <x:v>生物与环境</x:v>
      </x:c>
      <x:c r="C43" s="17" t="str">
        <x:v>生物与环境&gt;生态系统&gt;能量流动与物质循环</x:v>
      </x:c>
      <x:c r="D43" s="18" t="str">
        <x:v>0</x:v>
      </x:c>
      <x:c r="E43" s="18" t="str">
        <x:v>3</x:v>
      </x:c>
      <x:c r="F43" s="18" t="str">
        <x:v>3</x:v>
      </x:c>
      <x:c r="G43" s="18" t="str">
        <x:v>1</x:v>
      </x:c>
      <x:c r="H43" s="18" t="str">
        <x:v>1</x:v>
      </x:c>
      <x:c r="I43" s="18" t="str">
        <x:v>1</x:v>
      </x:c>
      <x:c r="J43" s="18" t="str">
        <x:v>1</x:v>
      </x:c>
      <x:c r="K43" s="18" t="str">
        <x:v>1</x:v>
      </x:c>
      <x:c r="L43" s="18" t="str">
        <x:v>1</x:v>
      </x:c>
    </x:row>
    <x:row r="44">
      <x:c r="A44" s="17" t="str">
        <x:v>BIOLOGY</x:v>
      </x:c>
      <x:c r="B44" s="17" t="str">
        <x:v>生物与环境</x:v>
      </x:c>
      <x:c r="C44" s="17" t="str">
        <x:v>生物与环境&gt;种群和群落&gt;种群数量与群落演替</x:v>
      </x:c>
      <x:c r="D44" s="18" t="str">
        <x:v>0</x:v>
      </x:c>
      <x:c r="E44" s="18" t="str">
        <x:v>3</x:v>
      </x:c>
      <x:c r="F44" s="18" t="str">
        <x:v>3</x:v>
      </x:c>
      <x:c r="G44" s="18" t="str">
        <x:v>1</x:v>
      </x:c>
      <x:c r="H44" s="18" t="str">
        <x:v>1</x:v>
      </x:c>
      <x:c r="I44" s="18" t="str">
        <x:v>1</x:v>
      </x:c>
      <x:c r="J44" s="18" t="str">
        <x:v>1</x:v>
      </x:c>
      <x:c r="K44" s="18" t="str">
        <x:v>1</x:v>
      </x:c>
      <x:c r="L44" s="18" t="str">
        <x:v>1</x:v>
      </x:c>
    </x:row>
    <x:row r="45">
      <x:c r="A45" s="17" t="str">
        <x:v>BIOLOGY</x:v>
      </x:c>
      <x:c r="B45" s="17" t="str">
        <x:v>生物实验</x:v>
      </x:c>
      <x:c r="C45" s="17" t="str">
        <x:v>生物实验&gt;科学探究&gt;变量控制与数据分析</x:v>
      </x:c>
      <x:c r="D45" s="18" t="str">
        <x:v>0</x:v>
      </x:c>
      <x:c r="E45" s="18" t="str">
        <x:v>3</x:v>
      </x:c>
      <x:c r="F45" s="18" t="str">
        <x:v>3</x:v>
      </x:c>
      <x:c r="G45" s="18" t="str">
        <x:v>1</x:v>
      </x:c>
      <x:c r="H45" s="18" t="str">
        <x:v>1</x:v>
      </x:c>
      <x:c r="I45" s="18" t="str">
        <x:v>1</x:v>
      </x:c>
      <x:c r="J45" s="18" t="str">
        <x:v>1</x:v>
      </x:c>
      <x:c r="K45" s="18" t="str">
        <x:v>1</x:v>
      </x:c>
      <x:c r="L45" s="18" t="str">
        <x:v>1</x:v>
      </x:c>
    </x:row>
    <x:row r="46">
      <x:c r="A46" s="17" t="str">
        <x:v>BIOLOGY</x:v>
      </x:c>
      <x:c r="B46" s="17" t="str">
        <x:v>生物技术</x:v>
      </x:c>
      <x:c r="C46" s="17" t="str">
        <x:v>生物技术&gt;传统生物技术&gt;发酵工程</x:v>
      </x:c>
      <x:c r="D46" s="18" t="str">
        <x:v>0</x:v>
      </x:c>
      <x:c r="E46" s="18" t="str">
        <x:v>3</x:v>
      </x:c>
      <x:c r="F46" s="18" t="str">
        <x:v>3</x:v>
      </x:c>
      <x:c r="G46" s="18" t="str">
        <x:v>1</x:v>
      </x:c>
      <x:c r="H46" s="18" t="str">
        <x:v>1</x:v>
      </x:c>
      <x:c r="I46" s="18" t="str">
        <x:v>1</x:v>
      </x:c>
      <x:c r="J46" s="18" t="str">
        <x:v>1</x:v>
      </x:c>
      <x:c r="K46" s="18" t="str">
        <x:v>1</x:v>
      </x:c>
      <x:c r="L46" s="18" t="str">
        <x:v>1</x:v>
      </x:c>
    </x:row>
    <x:row r="47">
      <x:c r="A47" s="17" t="str">
        <x:v>BIOLOGY</x:v>
      </x:c>
      <x:c r="B47" s="17" t="str">
        <x:v>生物技术</x:v>
      </x:c>
      <x:c r="C47" s="17" t="str">
        <x:v>生物技术&gt;现代生物工程&gt;基因工程与细胞工程</x:v>
      </x:c>
      <x:c r="D47" s="18" t="str">
        <x:v>0</x:v>
      </x:c>
      <x:c r="E47" s="18" t="str">
        <x:v>3</x:v>
      </x:c>
      <x:c r="F47" s="18" t="str">
        <x:v>3</x:v>
      </x:c>
      <x:c r="G47" s="18" t="str">
        <x:v>1</x:v>
      </x:c>
      <x:c r="H47" s="18" t="str">
        <x:v>1</x:v>
      </x:c>
      <x:c r="I47" s="18" t="str">
        <x:v>1</x:v>
      </x:c>
      <x:c r="J47" s="18" t="str">
        <x:v>1</x:v>
      </x:c>
      <x:c r="K47" s="18" t="str">
        <x:v>1</x:v>
      </x:c>
      <x:c r="L47" s="18" t="str">
        <x:v>1</x:v>
      </x:c>
    </x:row>
    <x:row r="48">
      <x:c r="A48" s="17" t="str">
        <x:v>BIOLOGY</x:v>
      </x:c>
      <x:c r="B48" s="17" t="str">
        <x:v>稳态与调节</x:v>
      </x:c>
      <x:c r="C48" s="17" t="str">
        <x:v>稳态与调节&gt;内环境&gt;稳态</x:v>
      </x:c>
      <x:c r="D48" s="18" t="str">
        <x:v>0</x:v>
      </x:c>
      <x:c r="E48" s="18" t="str">
        <x:v>4</x:v>
      </x:c>
      <x:c r="F48" s="18" t="str">
        <x:v>4</x:v>
      </x:c>
      <x:c r="G48" s="18" t="str">
        <x:v>1</x:v>
      </x:c>
      <x:c r="H48" s="18" t="str">
        <x:v>2</x:v>
      </x:c>
      <x:c r="I48" s="18" t="str">
        <x:v>1</x:v>
      </x:c>
      <x:c r="J48" s="18" t="str">
        <x:v>1</x:v>
      </x:c>
      <x:c r="K48" s="18" t="str">
        <x:v>2</x:v>
      </x:c>
      <x:c r="L48" s="18" t="str">
        <x:v>1</x:v>
      </x:c>
    </x:row>
    <x:row r="49">
      <x:c r="A49" s="17" t="str">
        <x:v>BIOLOGY</x:v>
      </x:c>
      <x:c r="B49" s="17" t="str">
        <x:v>稳态与调节</x:v>
      </x:c>
      <x:c r="C49" s="17" t="str">
        <x:v>稳态与调节&gt;植物生命活动调节&gt;植物激素</x:v>
      </x:c>
      <x:c r="D49" s="18" t="str">
        <x:v>0</x:v>
      </x:c>
      <x:c r="E49" s="18" t="str">
        <x:v>4</x:v>
      </x:c>
      <x:c r="F49" s="18" t="str">
        <x:v>4</x:v>
      </x:c>
      <x:c r="G49" s="18" t="str">
        <x:v>1</x:v>
      </x:c>
      <x:c r="H49" s="18" t="str">
        <x:v>1</x:v>
      </x:c>
      <x:c r="I49" s="18" t="str">
        <x:v>2</x:v>
      </x:c>
      <x:c r="J49" s="18" t="str">
        <x:v>1</x:v>
      </x:c>
      <x:c r="K49" s="18" t="str">
        <x:v>1</x:v>
      </x:c>
      <x:c r="L49" s="18" t="str">
        <x:v>2</x:v>
      </x:c>
    </x:row>
    <x:row r="50">
      <x:c r="A50" s="17" t="str">
        <x:v>BIOLOGY</x:v>
      </x:c>
      <x:c r="B50" s="17" t="str">
        <x:v>稳态与调节</x:v>
      </x:c>
      <x:c r="C50" s="17" t="str">
        <x:v>稳态与调节&gt;生命活动调节&gt;免疫调节</x:v>
      </x:c>
      <x:c r="D50" s="18" t="str">
        <x:v>0</x:v>
      </x:c>
      <x:c r="E50" s="18" t="str">
        <x:v>4</x:v>
      </x:c>
      <x:c r="F50" s="18" t="str">
        <x:v>4</x:v>
      </x:c>
      <x:c r="G50" s="18" t="str">
        <x:v>1</x:v>
      </x:c>
      <x:c r="H50" s="18" t="str">
        <x:v>1</x:v>
      </x:c>
      <x:c r="I50" s="18" t="str">
        <x:v>2</x:v>
      </x:c>
      <x:c r="J50" s="18" t="str">
        <x:v>1</x:v>
      </x:c>
      <x:c r="K50" s="18" t="str">
        <x:v>1</x:v>
      </x:c>
      <x:c r="L50" s="18" t="str">
        <x:v>2</x:v>
      </x:c>
    </x:row>
    <x:row r="51">
      <x:c r="A51" s="17" t="str">
        <x:v>BIOLOGY</x:v>
      </x:c>
      <x:c r="B51" s="17" t="str">
        <x:v>稳态与调节</x:v>
      </x:c>
      <x:c r="C51" s="17" t="str">
        <x:v>稳态与调节&gt;生命活动调节&gt;激素调节</x:v>
      </x:c>
      <x:c r="D51" s="18" t="str">
        <x:v>13</x:v>
      </x:c>
      <x:c r="E51" s="18" t="str">
        <x:v>4</x:v>
      </x:c>
      <x:c r="F51" s="18" t="str">
        <x:v>17</x:v>
      </x:c>
      <x:c r="G51" s="18" t="str">
        <x:v>5</x:v>
      </x:c>
      <x:c r="H51" s="18" t="str">
        <x:v>6</x:v>
      </x:c>
      <x:c r="I51" s="18" t="str">
        <x:v>6</x:v>
      </x:c>
      <x:c r="J51" s="18" t="str">
        <x:v>5</x:v>
      </x:c>
      <x:c r="K51" s="18" t="str">
        <x:v>5</x:v>
      </x:c>
      <x:c r="L51" s="18" t="str">
        <x:v>7</x:v>
      </x:c>
    </x:row>
    <x:row r="52">
      <x:c r="A52" s="17" t="str">
        <x:v>BIOLOGY</x:v>
      </x:c>
      <x:c r="B52" s="17" t="str">
        <x:v>稳态与调节</x:v>
      </x:c>
      <x:c r="C52" s="17" t="str">
        <x:v>稳态与调节&gt;生命活动调节&gt;神经调节</x:v>
      </x:c>
      <x:c r="D52" s="18" t="str">
        <x:v>0</x:v>
      </x:c>
      <x:c r="E52" s="18" t="str">
        <x:v>4</x:v>
      </x:c>
      <x:c r="F52" s="18" t="str">
        <x:v>4</x:v>
      </x:c>
      <x:c r="G52" s="18" t="str">
        <x:v>1</x:v>
      </x:c>
      <x:c r="H52" s="18" t="str">
        <x:v>1</x:v>
      </x:c>
      <x:c r="I52" s="18" t="str">
        <x:v>2</x:v>
      </x:c>
      <x:c r="J52" s="18" t="str">
        <x:v>1</x:v>
      </x:c>
      <x:c r="K52" s="18" t="str">
        <x:v>2</x:v>
      </x:c>
      <x:c r="L52" s="18" t="str">
        <x:v>1</x:v>
      </x:c>
    </x:row>
    <x:row r="53">
      <x:c r="A53" s="17" t="str">
        <x:v>BIOLOGY</x:v>
      </x:c>
      <x:c r="B53" s="17" t="str">
        <x:v>遗传与进化</x:v>
      </x:c>
      <x:c r="C53" s="17" t="str">
        <x:v>遗传与进化&gt;变异&gt;基因突变与染色体变异</x:v>
      </x:c>
      <x:c r="D53" s="18" t="str">
        <x:v>0</x:v>
      </x:c>
      <x:c r="E53" s="18" t="str">
        <x:v>4</x:v>
      </x:c>
      <x:c r="F53" s="18" t="str">
        <x:v>4</x:v>
      </x:c>
      <x:c r="G53" s="18" t="str">
        <x:v>1</x:v>
      </x:c>
      <x:c r="H53" s="18" t="str">
        <x:v>2</x:v>
      </x:c>
      <x:c r="I53" s="18" t="str">
        <x:v>1</x:v>
      </x:c>
      <x:c r="J53" s="18" t="str">
        <x:v>1</x:v>
      </x:c>
      <x:c r="K53" s="18" t="str">
        <x:v>2</x:v>
      </x:c>
      <x:c r="L53" s="18" t="str">
        <x:v>1</x:v>
      </x:c>
    </x:row>
    <x:row r="54">
      <x:c r="A54" s="17" t="str">
        <x:v>BIOLOGY</x:v>
      </x:c>
      <x:c r="B54" s="17" t="str">
        <x:v>遗传与进化</x:v>
      </x:c>
      <x:c r="C54" s="17" t="str">
        <x:v>遗传与进化&gt;基因的本质与表达&gt;DNA复制与表达</x:v>
      </x:c>
      <x:c r="D54" s="18" t="str">
        <x:v>0</x:v>
      </x:c>
      <x:c r="E54" s="18" t="str">
        <x:v>4</x:v>
      </x:c>
      <x:c r="F54" s="18" t="str">
        <x:v>4</x:v>
      </x:c>
      <x:c r="G54" s="18" t="str">
        <x:v>2</x:v>
      </x:c>
      <x:c r="H54" s="18" t="str">
        <x:v>1</x:v>
      </x:c>
      <x:c r="I54" s="18" t="str">
        <x:v>1</x:v>
      </x:c>
      <x:c r="J54" s="18" t="str">
        <x:v>1</x:v>
      </x:c>
      <x:c r="K54" s="18" t="str">
        <x:v>2</x:v>
      </x:c>
      <x:c r="L54" s="18" t="str">
        <x:v>1</x:v>
      </x:c>
    </x:row>
    <x:row r="55">
      <x:c r="A55" s="17" t="str">
        <x:v>BIOLOGY</x:v>
      </x:c>
      <x:c r="B55" s="17" t="str">
        <x:v>遗传与进化</x:v>
      </x:c>
      <x:c r="C55" s="17" t="str">
        <x:v>遗传与进化&gt;生物进化&gt;自然选择</x:v>
      </x:c>
      <x:c r="D55" s="18" t="str">
        <x:v>0</x:v>
      </x:c>
      <x:c r="E55" s="18" t="str">
        <x:v>4</x:v>
      </x:c>
      <x:c r="F55" s="18" t="str">
        <x:v>4</x:v>
      </x:c>
      <x:c r="G55" s="18" t="str">
        <x:v>1</x:v>
      </x:c>
      <x:c r="H55" s="18" t="str">
        <x:v>2</x:v>
      </x:c>
      <x:c r="I55" s="18" t="str">
        <x:v>1</x:v>
      </x:c>
      <x:c r="J55" s="18" t="str">
        <x:v>1</x:v>
      </x:c>
      <x:c r="K55" s="18" t="str">
        <x:v>2</x:v>
      </x:c>
      <x:c r="L55" s="18" t="str">
        <x:v>1</x:v>
      </x:c>
    </x:row>
    <x:row r="56">
      <x:c r="A56" s="19" t="str">
        <x:v>BIOLOGY</x:v>
      </x:c>
      <x:c r="B56" s="19" t="str">
        <x:v>遗传与进化</x:v>
      </x:c>
      <x:c r="C56" s="19" t="str">
        <x:v>遗传与进化&gt;遗传规律&gt;分离定律</x:v>
      </x:c>
      <x:c r="D56" s="20" t="str">
        <x:v>14</x:v>
      </x:c>
      <x:c r="E56" s="20" t="str">
        <x:v>4</x:v>
      </x:c>
      <x:c r="F56" s="20" t="str">
        <x:v>18</x:v>
      </x:c>
      <x:c r="G56" s="20" t="str">
        <x:v>6</x:v>
      </x:c>
      <x:c r="H56" s="20" t="str">
        <x:v>6</x:v>
      </x:c>
      <x:c r="I56" s="20" t="str">
        <x:v>6</x:v>
      </x:c>
      <x:c r="J56" s="20" t="str">
        <x:v>5</x:v>
      </x:c>
      <x:c r="K56" s="20" t="str">
        <x:v>8</x:v>
      </x:c>
      <x:c r="L56" s="20" t="str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62f8be9ee1204a7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4" hidden="0" customWidth="1"/>
    <x:col min="8" max="8" width="24" hidden="0" customWidth="1"/>
  </x:cols>
  <x:sheetData>
    <x:row r="1" ht="34" customHeight="1">
      <x:c r="A1" s="32" t="str">
        <x:v>Demo360 课程覆盖汇总</x:v>
      </x:c>
      <x:c r="B1" s="32"/>
      <x:c r="C1" s="32"/>
      <x:c r="D1" s="32"/>
      <x:c r="E1" s="32"/>
      <x:c r="F1" s="32"/>
      <x:c r="G1" s="32"/>
      <x:c r="H1" s="32"/>
    </x:row>
    <x:row r="3" ht="26" customHeight="1">
      <x:c r="A3" s="44" t="str">
        <x:v>学科</x:v>
      </x:c>
      <x:c r="B3" s="44" t="str">
        <x:v>题目</x:v>
      </x:c>
      <x:c r="C3" s="44" t="str">
        <x:v>叶子知识点</x:v>
      </x:c>
      <x:c r="D3" s="44" t="str">
        <x:v>单选</x:v>
      </x:c>
      <x:c r="E3" s="44" t="str">
        <x:v>多选</x:v>
      </x:c>
      <x:c r="F3" s="44" t="str">
        <x:v>填空</x:v>
      </x:c>
      <x:c r="G3" s="44" t="str">
        <x:v>Easy / Medium / Hard</x:v>
      </x:c>
      <x:c r="H3" s="44" t="str">
        <x:v>覆盖说明</x:v>
      </x:c>
    </x:row>
    <x:row r="4" ht="24" customHeight="1">
      <x:c r="A4" s="46" t="str">
        <x:v>PHYSICS</x:v>
      </x:c>
      <x:c r="B4" s="50" t="n">
        <x:f>SUMIF(Coverage!$A$2:$A$56,A4,Coverage!$F$2:$F$56)</x:f>
        <x:v>120</x:v>
      </x:c>
      <x:c r="C4" s="50" t="n">
        <x:f>COUNTIF(Coverage!$A$2:$A$56,A4)</x:f>
        <x:v>18</x:v>
      </x:c>
      <x:c r="D4" s="50" t="n">
        <x:f>SUMIF(Coverage!$A$2:$A$56,A4,Coverage!$G$2:$G$56)</x:f>
        <x:v>44</x:v>
      </x:c>
      <x:c r="E4" s="50" t="n">
        <x:f>SUMIF(Coverage!$A$2:$A$56,A4,Coverage!$H$2:$H$56)</x:f>
        <x:v>38</x:v>
      </x:c>
      <x:c r="F4" s="50" t="n">
        <x:f>SUMIF(Coverage!$A$2:$A$56,A4,Coverage!$I$2:$I$56)</x:f>
        <x:v>38</x:v>
      </x:c>
      <x:c r="G4" s="48" t="str">
        <x:f>SUMIF(Coverage!$A$2:$A$56,A4,Coverage!$J$2:$J$56)&amp;" / "&amp;SUMIF(Coverage!$A$2:$A$56,A4,Coverage!$K$2:$K$56)&amp;" / "&amp;SUMIF(Coverage!$A$2:$A$56,A4,Coverage!$L$2:$L$56)</x:f>
        <x:v>36 / 48 / 36</x:v>
      </x:c>
      <x:c r="H4" s="46" t="str">
        <x:v>18 个通用模块</x:v>
      </x:c>
    </x:row>
    <x:row r="5" ht="24" customHeight="1">
      <x:c r="A5" s="46" t="str">
        <x:v>CHEMISTRY</x:v>
      </x:c>
      <x:c r="B5" s="50" t="n">
        <x:f>SUMIF(Coverage!$A$2:$A$56,A5,Coverage!$F$2:$F$56)</x:f>
        <x:v>120</x:v>
      </x:c>
      <x:c r="C5" s="50" t="n">
        <x:f>COUNTIF(Coverage!$A$2:$A$56,A5)</x:f>
        <x:v>16</x:v>
      </x:c>
      <x:c r="D5" s="50" t="n">
        <x:f>SUMIF(Coverage!$A$2:$A$56,A5,Coverage!$G$2:$G$56)</x:f>
        <x:v>44</x:v>
      </x:c>
      <x:c r="E5" s="50" t="n">
        <x:f>SUMIF(Coverage!$A$2:$A$56,A5,Coverage!$H$2:$H$56)</x:f>
        <x:v>38</x:v>
      </x:c>
      <x:c r="F5" s="50" t="n">
        <x:f>SUMIF(Coverage!$A$2:$A$56,A5,Coverage!$I$2:$I$56)</x:f>
        <x:v>38</x:v>
      </x:c>
      <x:c r="G5" s="48" t="str">
        <x:f>SUMIF(Coverage!$A$2:$A$56,A5,Coverage!$J$2:$J$56)&amp;" / "&amp;SUMIF(Coverage!$A$2:$A$56,A5,Coverage!$K$2:$K$56)&amp;" / "&amp;SUMIF(Coverage!$A$2:$A$56,A5,Coverage!$L$2:$L$56)</x:f>
        <x:v>36 / 48 / 36</x:v>
      </x:c>
      <x:c r="H5" s="46" t="str">
        <x:v>16 个通用模块</x:v>
      </x:c>
    </x:row>
    <x:row r="6" ht="24" customHeight="1">
      <x:c r="A6" s="46" t="str">
        <x:v>BIOLOGY</x:v>
      </x:c>
      <x:c r="B6" s="50" t="n">
        <x:f>SUMIF(Coverage!$A$2:$A$56,A6,Coverage!$F$2:$F$56)</x:f>
        <x:v>120</x:v>
      </x:c>
      <x:c r="C6" s="50" t="n">
        <x:f>COUNTIF(Coverage!$A$2:$A$56,A6)</x:f>
        <x:v>21</x:v>
      </x:c>
      <x:c r="D6" s="50" t="n">
        <x:f>SUMIF(Coverage!$A$2:$A$56,A6,Coverage!$G$2:$G$56)</x:f>
        <x:v>44</x:v>
      </x:c>
      <x:c r="E6" s="50" t="n">
        <x:f>SUMIF(Coverage!$A$2:$A$56,A6,Coverage!$H$2:$H$56)</x:f>
        <x:v>38</x:v>
      </x:c>
      <x:c r="F6" s="50" t="n">
        <x:f>SUMIF(Coverage!$A$2:$A$56,A6,Coverage!$I$2:$I$56)</x:f>
        <x:v>38</x:v>
      </x:c>
      <x:c r="G6" s="48" t="str">
        <x:f>SUMIF(Coverage!$A$2:$A$56,A6,Coverage!$J$2:$J$56)&amp;" / "&amp;SUMIF(Coverage!$A$2:$A$56,A6,Coverage!$K$2:$K$56)&amp;" / "&amp;SUMIF(Coverage!$A$2:$A$56,A6,Coverage!$L$2:$L$56)</x:f>
        <x:v>36 / 48 / 36</x:v>
      </x:c>
      <x:c r="H6" s="46" t="str">
        <x:v>21 个通用模块</x:v>
      </x:c>
    </x:row>
    <x:row r="8">
      <x:c r="A8" s="40" t="str">
        <x:v>覆盖基线：普通高中课程方案和各学科课程标准（2017年版2020年修订）的通用结构，并结合项目知识树。此表是工程覆盖规划，不冒充任何省份或教材版本的逐章目录。</x:v>
      </x:c>
      <x:c r="B8" s="40"/>
      <x:c r="C8" s="40"/>
      <x:c r="D8" s="40"/>
      <x:c r="E8" s="40"/>
      <x:c r="F8" s="40"/>
      <x:c r="G8" s="40"/>
      <x:c r="H8" s="40"/>
    </x:row>
    <x:row r="9">
      <x:c r="A9" s="40"/>
      <x:c r="B9" s="40"/>
      <x:c r="C9" s="40"/>
      <x:c r="D9" s="40"/>
      <x:c r="E9" s="40"/>
      <x:c r="F9" s="40"/>
      <x:c r="G9" s="40"/>
      <x:c r="H9" s="40"/>
    </x:row>
  </x:sheetData>
  <x:mergeCells>
    <x:mergeCell ref="A1:H1"/>
    <x:mergeCell ref="A8:H9"/>
  </x:mergeCells>
  <x:pageMargins left="0.7" right="0.7" top="0.75" bottom="0.75" header="0.3" footer="0.3"/>
</x:worksheet>
</file>